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s" sheetId="1" r:id="rId1"/>
    <sheet name="data" sheetId="2" r:id="rId2"/>
    <sheet name="chart" sheetId="3" r:id="rId3"/>
  </sheets>
  <definedNames>
    <definedName name="expires">params!$B$4</definedName>
    <definedName name="gamma">params!$B$7</definedName>
    <definedName name="gold0">params!$B$11</definedName>
    <definedName name="gold1">params!$B$12</definedName>
    <definedName name="gold2">params!$B$13</definedName>
    <definedName name="gold3">params!$B$14</definedName>
    <definedName name="life_penalty_at_one">params!$B$8</definedName>
    <definedName name="lives">params!$B$3</definedName>
    <definedName name="potion_cost">params!$B$5</definedName>
    <definedName name="q_survive_on_fail">params!$B$6</definedName>
    <definedName name="reward">params!$B$2</definedName>
  </definedNames>
  <calcPr calcId="124519" fullCalcOnLoad="1"/>
</workbook>
</file>

<file path=xl/sharedStrings.xml><?xml version="1.0" encoding="utf-8"?>
<sst xmlns="http://schemas.openxmlformats.org/spreadsheetml/2006/main" count="21" uniqueCount="21">
  <si>
    <t>name</t>
  </si>
  <si>
    <t>value</t>
  </si>
  <si>
    <t>reward</t>
  </si>
  <si>
    <t>lives</t>
  </si>
  <si>
    <t>expires</t>
  </si>
  <si>
    <t>potion_cost</t>
  </si>
  <si>
    <t>q_survive_on_fail</t>
  </si>
  <si>
    <t>gamma</t>
  </si>
  <si>
    <t>life_penalty_at_one</t>
  </si>
  <si>
    <t>gold_levels</t>
  </si>
  <si>
    <t>gold0</t>
  </si>
  <si>
    <t>gold1</t>
  </si>
  <si>
    <t>gold2</t>
  </si>
  <si>
    <t>gold3</t>
  </si>
  <si>
    <t>p</t>
  </si>
  <si>
    <t>EV</t>
  </si>
  <si>
    <t>RA</t>
  </si>
  <si>
    <t>BA_gold=0</t>
  </si>
  <si>
    <t>BA_gold=1</t>
  </si>
  <si>
    <t>BA_gold=2</t>
  </si>
  <si>
    <t>BA_gold=3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</si>
</sst>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EV vs Risk-averse vs Bankroll-aware (Excel formulas)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data!$B$1</c:f>
              <c:strCache>
                <c:ptCount val="1"/>
                <c:pt idx="0">
                  <c:v>EV</c:v>
                </c:pt>
              </c:strCache>
            </c:strRef>
          </c:tx>
          <c:marker>
            <c:symbol val="none"/>
          </c:marker>
          <c:cat>
            <c:numRef>
              <c:f>data!$A$2:$A$101</c:f>
              <c:numCache>
                <c:formatCode>General</c:formatCode>
                <c:ptCount val="100"/>
                <c:pt idx="0">
                  <c:v>0.05</c:v>
                </c:pt>
                <c:pt idx="1">
                  <c:v>0.0590909090909091</c:v>
                </c:pt>
                <c:pt idx="2">
                  <c:v>0.06818181818181818</c:v>
                </c:pt>
                <c:pt idx="3">
                  <c:v>0.07727272727272727</c:v>
                </c:pt>
                <c:pt idx="4">
                  <c:v>0.08636363636363636</c:v>
                </c:pt>
                <c:pt idx="5">
                  <c:v>0.09545454545454546</c:v>
                </c:pt>
                <c:pt idx="6">
                  <c:v>0.1045454545454546</c:v>
                </c:pt>
                <c:pt idx="7">
                  <c:v>0.1136363636363636</c:v>
                </c:pt>
                <c:pt idx="8">
                  <c:v>0.1227272727272727</c:v>
                </c:pt>
                <c:pt idx="9">
                  <c:v>0.1318181818181818</c:v>
                </c:pt>
                <c:pt idx="10">
                  <c:v>0.1409090909090909</c:v>
                </c:pt>
                <c:pt idx="11">
                  <c:v>0.15</c:v>
                </c:pt>
                <c:pt idx="12">
                  <c:v>0.1590909090909091</c:v>
                </c:pt>
                <c:pt idx="13">
                  <c:v>0.1681818181818182</c:v>
                </c:pt>
                <c:pt idx="14">
                  <c:v>0.1772727272727272</c:v>
                </c:pt>
                <c:pt idx="15">
                  <c:v>0.1863636363636363</c:v>
                </c:pt>
                <c:pt idx="16">
                  <c:v>0.1954545454545454</c:v>
                </c:pt>
                <c:pt idx="17">
                  <c:v>0.2045454545454545</c:v>
                </c:pt>
                <c:pt idx="18">
                  <c:v>0.2136363636363636</c:v>
                </c:pt>
                <c:pt idx="19">
                  <c:v>0.2227272727272727</c:v>
                </c:pt>
                <c:pt idx="20">
                  <c:v>0.2318181818181818</c:v>
                </c:pt>
                <c:pt idx="21">
                  <c:v>0.2409090909090909</c:v>
                </c:pt>
                <c:pt idx="22">
                  <c:v>0.25</c:v>
                </c:pt>
                <c:pt idx="23">
                  <c:v>0.2590909090909091</c:v>
                </c:pt>
                <c:pt idx="24">
                  <c:v>0.2681818181818182</c:v>
                </c:pt>
                <c:pt idx="25">
                  <c:v>0.2772727272727273</c:v>
                </c:pt>
                <c:pt idx="26">
                  <c:v>0.2863636363636364</c:v>
                </c:pt>
                <c:pt idx="27">
                  <c:v>0.2954545454545455</c:v>
                </c:pt>
                <c:pt idx="28">
                  <c:v>0.3045454545454545</c:v>
                </c:pt>
                <c:pt idx="29">
                  <c:v>0.3136363636363636</c:v>
                </c:pt>
                <c:pt idx="30">
                  <c:v>0.3227272727272727</c:v>
                </c:pt>
                <c:pt idx="31">
                  <c:v>0.3318181818181818</c:v>
                </c:pt>
                <c:pt idx="32">
                  <c:v>0.3409090909090909</c:v>
                </c:pt>
                <c:pt idx="33">
                  <c:v>0.35</c:v>
                </c:pt>
                <c:pt idx="34">
                  <c:v>0.3590909090909091</c:v>
                </c:pt>
                <c:pt idx="35">
                  <c:v>0.3681818181818182</c:v>
                </c:pt>
                <c:pt idx="36">
                  <c:v>0.3772727272727273</c:v>
                </c:pt>
                <c:pt idx="37">
                  <c:v>0.3863636363636364</c:v>
                </c:pt>
                <c:pt idx="38">
                  <c:v>0.3954545454545454</c:v>
                </c:pt>
                <c:pt idx="39">
                  <c:v>0.4045454545454545</c:v>
                </c:pt>
                <c:pt idx="40">
                  <c:v>0.4136363636363636</c:v>
                </c:pt>
                <c:pt idx="41">
                  <c:v>0.4227272727272727</c:v>
                </c:pt>
                <c:pt idx="42">
                  <c:v>0.4318181818181818</c:v>
                </c:pt>
                <c:pt idx="43">
                  <c:v>0.4409090909090909</c:v>
                </c:pt>
                <c:pt idx="44">
                  <c:v>0.45</c:v>
                </c:pt>
                <c:pt idx="45">
                  <c:v>0.459090909090909</c:v>
                </c:pt>
                <c:pt idx="46">
                  <c:v>0.4681818181818181</c:v>
                </c:pt>
                <c:pt idx="47">
                  <c:v>0.4772727272727272</c:v>
                </c:pt>
                <c:pt idx="48">
                  <c:v>0.4863636363636363</c:v>
                </c:pt>
                <c:pt idx="49">
                  <c:v>0.4954545454545454</c:v>
                </c:pt>
                <c:pt idx="50">
                  <c:v>0.5045454545454545</c:v>
                </c:pt>
                <c:pt idx="51">
                  <c:v>0.5136363636363637</c:v>
                </c:pt>
                <c:pt idx="52">
                  <c:v>0.5227272727272727</c:v>
                </c:pt>
                <c:pt idx="53">
                  <c:v>0.5318181818181819</c:v>
                </c:pt>
                <c:pt idx="54">
                  <c:v>0.5409090909090909</c:v>
                </c:pt>
                <c:pt idx="55">
                  <c:v>0.55</c:v>
                </c:pt>
                <c:pt idx="56">
                  <c:v>0.5590909090909091</c:v>
                </c:pt>
                <c:pt idx="57">
                  <c:v>0.5681818181818182</c:v>
                </c:pt>
                <c:pt idx="58">
                  <c:v>0.5772727272727273</c:v>
                </c:pt>
                <c:pt idx="59">
                  <c:v>0.5863636363636364</c:v>
                </c:pt>
                <c:pt idx="60">
                  <c:v>0.5954545454545455</c:v>
                </c:pt>
                <c:pt idx="61">
                  <c:v>0.6045454545454546</c:v>
                </c:pt>
                <c:pt idx="62">
                  <c:v>0.6136363636363636</c:v>
                </c:pt>
                <c:pt idx="63">
                  <c:v>0.6227272727272728</c:v>
                </c:pt>
                <c:pt idx="64">
                  <c:v>0.6318181818181818</c:v>
                </c:pt>
                <c:pt idx="65">
                  <c:v>0.6409090909090909</c:v>
                </c:pt>
                <c:pt idx="66">
                  <c:v>0.65</c:v>
                </c:pt>
                <c:pt idx="67">
                  <c:v>0.6590909090909091</c:v>
                </c:pt>
                <c:pt idx="68">
                  <c:v>0.6681818181818182</c:v>
                </c:pt>
                <c:pt idx="69">
                  <c:v>0.6772727272727272</c:v>
                </c:pt>
                <c:pt idx="70">
                  <c:v>0.6863636363636364</c:v>
                </c:pt>
                <c:pt idx="71">
                  <c:v>0.6954545454545454</c:v>
                </c:pt>
                <c:pt idx="72">
                  <c:v>0.7045454545454546</c:v>
                </c:pt>
                <c:pt idx="73">
                  <c:v>0.7136363636363636</c:v>
                </c:pt>
                <c:pt idx="74">
                  <c:v>0.7227272727272728</c:v>
                </c:pt>
                <c:pt idx="75">
                  <c:v>0.7318181818181818</c:v>
                </c:pt>
                <c:pt idx="76">
                  <c:v>0.740909090909091</c:v>
                </c:pt>
                <c:pt idx="77">
                  <c:v>0.75</c:v>
                </c:pt>
                <c:pt idx="78">
                  <c:v>0.7590909090909091</c:v>
                </c:pt>
                <c:pt idx="79">
                  <c:v>0.7681818181818182</c:v>
                </c:pt>
                <c:pt idx="80">
                  <c:v>0.7772727272727273</c:v>
                </c:pt>
                <c:pt idx="81">
                  <c:v>0.7863636363636364</c:v>
                </c:pt>
                <c:pt idx="82">
                  <c:v>0.7954545454545454</c:v>
                </c:pt>
                <c:pt idx="83">
                  <c:v>0.8045454545454546</c:v>
                </c:pt>
                <c:pt idx="84">
                  <c:v>0.8136363636363636</c:v>
                </c:pt>
                <c:pt idx="85">
                  <c:v>0.8227272727272728</c:v>
                </c:pt>
                <c:pt idx="86">
                  <c:v>0.8318181818181818</c:v>
                </c:pt>
                <c:pt idx="87">
                  <c:v>0.8409090909090909</c:v>
                </c:pt>
                <c:pt idx="88">
                  <c:v>0.85</c:v>
                </c:pt>
                <c:pt idx="89">
                  <c:v>0.8590909090909091</c:v>
                </c:pt>
                <c:pt idx="90">
                  <c:v>0.8681818181818182</c:v>
                </c:pt>
                <c:pt idx="91">
                  <c:v>0.8772727272727273</c:v>
                </c:pt>
                <c:pt idx="92">
                  <c:v>0.8863636363636364</c:v>
                </c:pt>
                <c:pt idx="93">
                  <c:v>0.8954545454545455</c:v>
                </c:pt>
                <c:pt idx="94">
                  <c:v>0.9045454545454545</c:v>
                </c:pt>
                <c:pt idx="95">
                  <c:v>0.9136363636363637</c:v>
                </c:pt>
                <c:pt idx="96">
                  <c:v>0.9227272727272727</c:v>
                </c:pt>
                <c:pt idx="97">
                  <c:v>0.9318181818181818</c:v>
                </c:pt>
                <c:pt idx="98">
                  <c:v>0.9409090909090909</c:v>
                </c:pt>
                <c:pt idx="99">
                  <c:v>0.95</c:v>
                </c:pt>
              </c:numCache>
            </c:numRef>
          </c:cat>
          <c:val>
            <c:numRef>
              <c:f>data!$B$2:$B$101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RA</c:v>
                </c:pt>
              </c:strCache>
            </c:strRef>
          </c:tx>
          <c:marker>
            <c:symbol val="none"/>
          </c:marker>
          <c:cat>
            <c:numRef>
              <c:f>data!$A$2:$A$101</c:f>
              <c:numCache>
                <c:formatCode>General</c:formatCode>
                <c:ptCount val="100"/>
                <c:pt idx="0">
                  <c:v>0.05</c:v>
                </c:pt>
                <c:pt idx="1">
                  <c:v>0.0590909090909091</c:v>
                </c:pt>
                <c:pt idx="2">
                  <c:v>0.06818181818181818</c:v>
                </c:pt>
                <c:pt idx="3">
                  <c:v>0.07727272727272727</c:v>
                </c:pt>
                <c:pt idx="4">
                  <c:v>0.08636363636363636</c:v>
                </c:pt>
                <c:pt idx="5">
                  <c:v>0.09545454545454546</c:v>
                </c:pt>
                <c:pt idx="6">
                  <c:v>0.1045454545454546</c:v>
                </c:pt>
                <c:pt idx="7">
                  <c:v>0.1136363636363636</c:v>
                </c:pt>
                <c:pt idx="8">
                  <c:v>0.1227272727272727</c:v>
                </c:pt>
                <c:pt idx="9">
                  <c:v>0.1318181818181818</c:v>
                </c:pt>
                <c:pt idx="10">
                  <c:v>0.1409090909090909</c:v>
                </c:pt>
                <c:pt idx="11">
                  <c:v>0.15</c:v>
                </c:pt>
                <c:pt idx="12">
                  <c:v>0.1590909090909091</c:v>
                </c:pt>
                <c:pt idx="13">
                  <c:v>0.1681818181818182</c:v>
                </c:pt>
                <c:pt idx="14">
                  <c:v>0.1772727272727272</c:v>
                </c:pt>
                <c:pt idx="15">
                  <c:v>0.1863636363636363</c:v>
                </c:pt>
                <c:pt idx="16">
                  <c:v>0.1954545454545454</c:v>
                </c:pt>
                <c:pt idx="17">
                  <c:v>0.2045454545454545</c:v>
                </c:pt>
                <c:pt idx="18">
                  <c:v>0.2136363636363636</c:v>
                </c:pt>
                <c:pt idx="19">
                  <c:v>0.2227272727272727</c:v>
                </c:pt>
                <c:pt idx="20">
                  <c:v>0.2318181818181818</c:v>
                </c:pt>
                <c:pt idx="21">
                  <c:v>0.2409090909090909</c:v>
                </c:pt>
                <c:pt idx="22">
                  <c:v>0.25</c:v>
                </c:pt>
                <c:pt idx="23">
                  <c:v>0.2590909090909091</c:v>
                </c:pt>
                <c:pt idx="24">
                  <c:v>0.2681818181818182</c:v>
                </c:pt>
                <c:pt idx="25">
                  <c:v>0.2772727272727273</c:v>
                </c:pt>
                <c:pt idx="26">
                  <c:v>0.2863636363636364</c:v>
                </c:pt>
                <c:pt idx="27">
                  <c:v>0.2954545454545455</c:v>
                </c:pt>
                <c:pt idx="28">
                  <c:v>0.3045454545454545</c:v>
                </c:pt>
                <c:pt idx="29">
                  <c:v>0.3136363636363636</c:v>
                </c:pt>
                <c:pt idx="30">
                  <c:v>0.3227272727272727</c:v>
                </c:pt>
                <c:pt idx="31">
                  <c:v>0.3318181818181818</c:v>
                </c:pt>
                <c:pt idx="32">
                  <c:v>0.3409090909090909</c:v>
                </c:pt>
                <c:pt idx="33">
                  <c:v>0.35</c:v>
                </c:pt>
                <c:pt idx="34">
                  <c:v>0.3590909090909091</c:v>
                </c:pt>
                <c:pt idx="35">
                  <c:v>0.3681818181818182</c:v>
                </c:pt>
                <c:pt idx="36">
                  <c:v>0.3772727272727273</c:v>
                </c:pt>
                <c:pt idx="37">
                  <c:v>0.3863636363636364</c:v>
                </c:pt>
                <c:pt idx="38">
                  <c:v>0.3954545454545454</c:v>
                </c:pt>
                <c:pt idx="39">
                  <c:v>0.4045454545454545</c:v>
                </c:pt>
                <c:pt idx="40">
                  <c:v>0.4136363636363636</c:v>
                </c:pt>
                <c:pt idx="41">
                  <c:v>0.4227272727272727</c:v>
                </c:pt>
                <c:pt idx="42">
                  <c:v>0.4318181818181818</c:v>
                </c:pt>
                <c:pt idx="43">
                  <c:v>0.4409090909090909</c:v>
                </c:pt>
                <c:pt idx="44">
                  <c:v>0.45</c:v>
                </c:pt>
                <c:pt idx="45">
                  <c:v>0.459090909090909</c:v>
                </c:pt>
                <c:pt idx="46">
                  <c:v>0.4681818181818181</c:v>
                </c:pt>
                <c:pt idx="47">
                  <c:v>0.4772727272727272</c:v>
                </c:pt>
                <c:pt idx="48">
                  <c:v>0.4863636363636363</c:v>
                </c:pt>
                <c:pt idx="49">
                  <c:v>0.4954545454545454</c:v>
                </c:pt>
                <c:pt idx="50">
                  <c:v>0.5045454545454545</c:v>
                </c:pt>
                <c:pt idx="51">
                  <c:v>0.5136363636363637</c:v>
                </c:pt>
                <c:pt idx="52">
                  <c:v>0.5227272727272727</c:v>
                </c:pt>
                <c:pt idx="53">
                  <c:v>0.5318181818181819</c:v>
                </c:pt>
                <c:pt idx="54">
                  <c:v>0.5409090909090909</c:v>
                </c:pt>
                <c:pt idx="55">
                  <c:v>0.55</c:v>
                </c:pt>
                <c:pt idx="56">
                  <c:v>0.5590909090909091</c:v>
                </c:pt>
                <c:pt idx="57">
                  <c:v>0.5681818181818182</c:v>
                </c:pt>
                <c:pt idx="58">
                  <c:v>0.5772727272727273</c:v>
                </c:pt>
                <c:pt idx="59">
                  <c:v>0.5863636363636364</c:v>
                </c:pt>
                <c:pt idx="60">
                  <c:v>0.5954545454545455</c:v>
                </c:pt>
                <c:pt idx="61">
                  <c:v>0.6045454545454546</c:v>
                </c:pt>
                <c:pt idx="62">
                  <c:v>0.6136363636363636</c:v>
                </c:pt>
                <c:pt idx="63">
                  <c:v>0.6227272727272728</c:v>
                </c:pt>
                <c:pt idx="64">
                  <c:v>0.6318181818181818</c:v>
                </c:pt>
                <c:pt idx="65">
                  <c:v>0.6409090909090909</c:v>
                </c:pt>
                <c:pt idx="66">
                  <c:v>0.65</c:v>
                </c:pt>
                <c:pt idx="67">
                  <c:v>0.6590909090909091</c:v>
                </c:pt>
                <c:pt idx="68">
                  <c:v>0.6681818181818182</c:v>
                </c:pt>
                <c:pt idx="69">
                  <c:v>0.6772727272727272</c:v>
                </c:pt>
                <c:pt idx="70">
                  <c:v>0.6863636363636364</c:v>
                </c:pt>
                <c:pt idx="71">
                  <c:v>0.6954545454545454</c:v>
                </c:pt>
                <c:pt idx="72">
                  <c:v>0.7045454545454546</c:v>
                </c:pt>
                <c:pt idx="73">
                  <c:v>0.7136363636363636</c:v>
                </c:pt>
                <c:pt idx="74">
                  <c:v>0.7227272727272728</c:v>
                </c:pt>
                <c:pt idx="75">
                  <c:v>0.7318181818181818</c:v>
                </c:pt>
                <c:pt idx="76">
                  <c:v>0.740909090909091</c:v>
                </c:pt>
                <c:pt idx="77">
                  <c:v>0.75</c:v>
                </c:pt>
                <c:pt idx="78">
                  <c:v>0.7590909090909091</c:v>
                </c:pt>
                <c:pt idx="79">
                  <c:v>0.7681818181818182</c:v>
                </c:pt>
                <c:pt idx="80">
                  <c:v>0.7772727272727273</c:v>
                </c:pt>
                <c:pt idx="81">
                  <c:v>0.7863636363636364</c:v>
                </c:pt>
                <c:pt idx="82">
                  <c:v>0.7954545454545454</c:v>
                </c:pt>
                <c:pt idx="83">
                  <c:v>0.8045454545454546</c:v>
                </c:pt>
                <c:pt idx="84">
                  <c:v>0.8136363636363636</c:v>
                </c:pt>
                <c:pt idx="85">
                  <c:v>0.8227272727272728</c:v>
                </c:pt>
                <c:pt idx="86">
                  <c:v>0.8318181818181818</c:v>
                </c:pt>
                <c:pt idx="87">
                  <c:v>0.8409090909090909</c:v>
                </c:pt>
                <c:pt idx="88">
                  <c:v>0.85</c:v>
                </c:pt>
                <c:pt idx="89">
                  <c:v>0.8590909090909091</c:v>
                </c:pt>
                <c:pt idx="90">
                  <c:v>0.8681818181818182</c:v>
                </c:pt>
                <c:pt idx="91">
                  <c:v>0.8772727272727273</c:v>
                </c:pt>
                <c:pt idx="92">
                  <c:v>0.8863636363636364</c:v>
                </c:pt>
                <c:pt idx="93">
                  <c:v>0.8954545454545455</c:v>
                </c:pt>
                <c:pt idx="94">
                  <c:v>0.9045454545454545</c:v>
                </c:pt>
                <c:pt idx="95">
                  <c:v>0.9136363636363637</c:v>
                </c:pt>
                <c:pt idx="96">
                  <c:v>0.9227272727272727</c:v>
                </c:pt>
                <c:pt idx="97">
                  <c:v>0.9318181818181818</c:v>
                </c:pt>
                <c:pt idx="98">
                  <c:v>0.9409090909090909</c:v>
                </c:pt>
                <c:pt idx="99">
                  <c:v>0.95</c:v>
                </c:pt>
              </c:numCache>
            </c:numRef>
          </c:cat>
          <c:val>
            <c:numRef>
              <c:f>data!$C$2:$C$101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</c:ser>
        <c:ser>
          <c:idx val="2"/>
          <c:order val="2"/>
          <c:tx>
            <c:strRef>
              <c:f>data!$D$1</c:f>
              <c:strCache>
                <c:ptCount val="1"/>
                <c:pt idx="0">
                  <c:v>BA_gold=0</c:v>
                </c:pt>
              </c:strCache>
            </c:strRef>
          </c:tx>
          <c:marker>
            <c:symbol val="none"/>
          </c:marker>
          <c:cat>
            <c:numRef>
              <c:f>data!$A$2:$A$101</c:f>
              <c:numCache>
                <c:formatCode>General</c:formatCode>
                <c:ptCount val="100"/>
                <c:pt idx="0">
                  <c:v>0.05</c:v>
                </c:pt>
                <c:pt idx="1">
                  <c:v>0.0590909090909091</c:v>
                </c:pt>
                <c:pt idx="2">
                  <c:v>0.06818181818181818</c:v>
                </c:pt>
                <c:pt idx="3">
                  <c:v>0.07727272727272727</c:v>
                </c:pt>
                <c:pt idx="4">
                  <c:v>0.08636363636363636</c:v>
                </c:pt>
                <c:pt idx="5">
                  <c:v>0.09545454545454546</c:v>
                </c:pt>
                <c:pt idx="6">
                  <c:v>0.1045454545454546</c:v>
                </c:pt>
                <c:pt idx="7">
                  <c:v>0.1136363636363636</c:v>
                </c:pt>
                <c:pt idx="8">
                  <c:v>0.1227272727272727</c:v>
                </c:pt>
                <c:pt idx="9">
                  <c:v>0.1318181818181818</c:v>
                </c:pt>
                <c:pt idx="10">
                  <c:v>0.1409090909090909</c:v>
                </c:pt>
                <c:pt idx="11">
                  <c:v>0.15</c:v>
                </c:pt>
                <c:pt idx="12">
                  <c:v>0.1590909090909091</c:v>
                </c:pt>
                <c:pt idx="13">
                  <c:v>0.1681818181818182</c:v>
                </c:pt>
                <c:pt idx="14">
                  <c:v>0.1772727272727272</c:v>
                </c:pt>
                <c:pt idx="15">
                  <c:v>0.1863636363636363</c:v>
                </c:pt>
                <c:pt idx="16">
                  <c:v>0.1954545454545454</c:v>
                </c:pt>
                <c:pt idx="17">
                  <c:v>0.2045454545454545</c:v>
                </c:pt>
                <c:pt idx="18">
                  <c:v>0.2136363636363636</c:v>
                </c:pt>
                <c:pt idx="19">
                  <c:v>0.2227272727272727</c:v>
                </c:pt>
                <c:pt idx="20">
                  <c:v>0.2318181818181818</c:v>
                </c:pt>
                <c:pt idx="21">
                  <c:v>0.2409090909090909</c:v>
                </c:pt>
                <c:pt idx="22">
                  <c:v>0.25</c:v>
                </c:pt>
                <c:pt idx="23">
                  <c:v>0.2590909090909091</c:v>
                </c:pt>
                <c:pt idx="24">
                  <c:v>0.2681818181818182</c:v>
                </c:pt>
                <c:pt idx="25">
                  <c:v>0.2772727272727273</c:v>
                </c:pt>
                <c:pt idx="26">
                  <c:v>0.2863636363636364</c:v>
                </c:pt>
                <c:pt idx="27">
                  <c:v>0.2954545454545455</c:v>
                </c:pt>
                <c:pt idx="28">
                  <c:v>0.3045454545454545</c:v>
                </c:pt>
                <c:pt idx="29">
                  <c:v>0.3136363636363636</c:v>
                </c:pt>
                <c:pt idx="30">
                  <c:v>0.3227272727272727</c:v>
                </c:pt>
                <c:pt idx="31">
                  <c:v>0.3318181818181818</c:v>
                </c:pt>
                <c:pt idx="32">
                  <c:v>0.3409090909090909</c:v>
                </c:pt>
                <c:pt idx="33">
                  <c:v>0.35</c:v>
                </c:pt>
                <c:pt idx="34">
                  <c:v>0.3590909090909091</c:v>
                </c:pt>
                <c:pt idx="35">
                  <c:v>0.3681818181818182</c:v>
                </c:pt>
                <c:pt idx="36">
                  <c:v>0.3772727272727273</c:v>
                </c:pt>
                <c:pt idx="37">
                  <c:v>0.3863636363636364</c:v>
                </c:pt>
                <c:pt idx="38">
                  <c:v>0.3954545454545454</c:v>
                </c:pt>
                <c:pt idx="39">
                  <c:v>0.4045454545454545</c:v>
                </c:pt>
                <c:pt idx="40">
                  <c:v>0.4136363636363636</c:v>
                </c:pt>
                <c:pt idx="41">
                  <c:v>0.4227272727272727</c:v>
                </c:pt>
                <c:pt idx="42">
                  <c:v>0.4318181818181818</c:v>
                </c:pt>
                <c:pt idx="43">
                  <c:v>0.4409090909090909</c:v>
                </c:pt>
                <c:pt idx="44">
                  <c:v>0.45</c:v>
                </c:pt>
                <c:pt idx="45">
                  <c:v>0.459090909090909</c:v>
                </c:pt>
                <c:pt idx="46">
                  <c:v>0.4681818181818181</c:v>
                </c:pt>
                <c:pt idx="47">
                  <c:v>0.4772727272727272</c:v>
                </c:pt>
                <c:pt idx="48">
                  <c:v>0.4863636363636363</c:v>
                </c:pt>
                <c:pt idx="49">
                  <c:v>0.4954545454545454</c:v>
                </c:pt>
                <c:pt idx="50">
                  <c:v>0.5045454545454545</c:v>
                </c:pt>
                <c:pt idx="51">
                  <c:v>0.5136363636363637</c:v>
                </c:pt>
                <c:pt idx="52">
                  <c:v>0.5227272727272727</c:v>
                </c:pt>
                <c:pt idx="53">
                  <c:v>0.5318181818181819</c:v>
                </c:pt>
                <c:pt idx="54">
                  <c:v>0.5409090909090909</c:v>
                </c:pt>
                <c:pt idx="55">
                  <c:v>0.55</c:v>
                </c:pt>
                <c:pt idx="56">
                  <c:v>0.5590909090909091</c:v>
                </c:pt>
                <c:pt idx="57">
                  <c:v>0.5681818181818182</c:v>
                </c:pt>
                <c:pt idx="58">
                  <c:v>0.5772727272727273</c:v>
                </c:pt>
                <c:pt idx="59">
                  <c:v>0.5863636363636364</c:v>
                </c:pt>
                <c:pt idx="60">
                  <c:v>0.5954545454545455</c:v>
                </c:pt>
                <c:pt idx="61">
                  <c:v>0.6045454545454546</c:v>
                </c:pt>
                <c:pt idx="62">
                  <c:v>0.6136363636363636</c:v>
                </c:pt>
                <c:pt idx="63">
                  <c:v>0.6227272727272728</c:v>
                </c:pt>
                <c:pt idx="64">
                  <c:v>0.6318181818181818</c:v>
                </c:pt>
                <c:pt idx="65">
                  <c:v>0.6409090909090909</c:v>
                </c:pt>
                <c:pt idx="66">
                  <c:v>0.65</c:v>
                </c:pt>
                <c:pt idx="67">
                  <c:v>0.6590909090909091</c:v>
                </c:pt>
                <c:pt idx="68">
                  <c:v>0.6681818181818182</c:v>
                </c:pt>
                <c:pt idx="69">
                  <c:v>0.6772727272727272</c:v>
                </c:pt>
                <c:pt idx="70">
                  <c:v>0.6863636363636364</c:v>
                </c:pt>
                <c:pt idx="71">
                  <c:v>0.6954545454545454</c:v>
                </c:pt>
                <c:pt idx="72">
                  <c:v>0.7045454545454546</c:v>
                </c:pt>
                <c:pt idx="73">
                  <c:v>0.7136363636363636</c:v>
                </c:pt>
                <c:pt idx="74">
                  <c:v>0.7227272727272728</c:v>
                </c:pt>
                <c:pt idx="75">
                  <c:v>0.7318181818181818</c:v>
                </c:pt>
                <c:pt idx="76">
                  <c:v>0.740909090909091</c:v>
                </c:pt>
                <c:pt idx="77">
                  <c:v>0.75</c:v>
                </c:pt>
                <c:pt idx="78">
                  <c:v>0.7590909090909091</c:v>
                </c:pt>
                <c:pt idx="79">
                  <c:v>0.7681818181818182</c:v>
                </c:pt>
                <c:pt idx="80">
                  <c:v>0.7772727272727273</c:v>
                </c:pt>
                <c:pt idx="81">
                  <c:v>0.7863636363636364</c:v>
                </c:pt>
                <c:pt idx="82">
                  <c:v>0.7954545454545454</c:v>
                </c:pt>
                <c:pt idx="83">
                  <c:v>0.8045454545454546</c:v>
                </c:pt>
                <c:pt idx="84">
                  <c:v>0.8136363636363636</c:v>
                </c:pt>
                <c:pt idx="85">
                  <c:v>0.8227272727272728</c:v>
                </c:pt>
                <c:pt idx="86">
                  <c:v>0.8318181818181818</c:v>
                </c:pt>
                <c:pt idx="87">
                  <c:v>0.8409090909090909</c:v>
                </c:pt>
                <c:pt idx="88">
                  <c:v>0.85</c:v>
                </c:pt>
                <c:pt idx="89">
                  <c:v>0.8590909090909091</c:v>
                </c:pt>
                <c:pt idx="90">
                  <c:v>0.8681818181818182</c:v>
                </c:pt>
                <c:pt idx="91">
                  <c:v>0.8772727272727273</c:v>
                </c:pt>
                <c:pt idx="92">
                  <c:v>0.8863636363636364</c:v>
                </c:pt>
                <c:pt idx="93">
                  <c:v>0.8954545454545455</c:v>
                </c:pt>
                <c:pt idx="94">
                  <c:v>0.9045454545454545</c:v>
                </c:pt>
                <c:pt idx="95">
                  <c:v>0.9136363636363637</c:v>
                </c:pt>
                <c:pt idx="96">
                  <c:v>0.9227272727272727</c:v>
                </c:pt>
                <c:pt idx="97">
                  <c:v>0.9318181818181818</c:v>
                </c:pt>
                <c:pt idx="98">
                  <c:v>0.9409090909090909</c:v>
                </c:pt>
                <c:pt idx="99">
                  <c:v>0.95</c:v>
                </c:pt>
              </c:numCache>
            </c:numRef>
          </c:cat>
          <c:val>
            <c:numRef>
              <c:f>data!$D$2:$D$101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</c:ser>
        <c:ser>
          <c:idx val="3"/>
          <c:order val="3"/>
          <c:tx>
            <c:strRef>
              <c:f>data!$E$1</c:f>
              <c:strCache>
                <c:ptCount val="1"/>
                <c:pt idx="0">
                  <c:v>BA_gold=1</c:v>
                </c:pt>
              </c:strCache>
            </c:strRef>
          </c:tx>
          <c:marker>
            <c:symbol val="none"/>
          </c:marker>
          <c:cat>
            <c:numRef>
              <c:f>data!$A$2:$A$101</c:f>
              <c:numCache>
                <c:formatCode>General</c:formatCode>
                <c:ptCount val="100"/>
                <c:pt idx="0">
                  <c:v>0.05</c:v>
                </c:pt>
                <c:pt idx="1">
                  <c:v>0.0590909090909091</c:v>
                </c:pt>
                <c:pt idx="2">
                  <c:v>0.06818181818181818</c:v>
                </c:pt>
                <c:pt idx="3">
                  <c:v>0.07727272727272727</c:v>
                </c:pt>
                <c:pt idx="4">
                  <c:v>0.08636363636363636</c:v>
                </c:pt>
                <c:pt idx="5">
                  <c:v>0.09545454545454546</c:v>
                </c:pt>
                <c:pt idx="6">
                  <c:v>0.1045454545454546</c:v>
                </c:pt>
                <c:pt idx="7">
                  <c:v>0.1136363636363636</c:v>
                </c:pt>
                <c:pt idx="8">
                  <c:v>0.1227272727272727</c:v>
                </c:pt>
                <c:pt idx="9">
                  <c:v>0.1318181818181818</c:v>
                </c:pt>
                <c:pt idx="10">
                  <c:v>0.1409090909090909</c:v>
                </c:pt>
                <c:pt idx="11">
                  <c:v>0.15</c:v>
                </c:pt>
                <c:pt idx="12">
                  <c:v>0.1590909090909091</c:v>
                </c:pt>
                <c:pt idx="13">
                  <c:v>0.1681818181818182</c:v>
                </c:pt>
                <c:pt idx="14">
                  <c:v>0.1772727272727272</c:v>
                </c:pt>
                <c:pt idx="15">
                  <c:v>0.1863636363636363</c:v>
                </c:pt>
                <c:pt idx="16">
                  <c:v>0.1954545454545454</c:v>
                </c:pt>
                <c:pt idx="17">
                  <c:v>0.2045454545454545</c:v>
                </c:pt>
                <c:pt idx="18">
                  <c:v>0.2136363636363636</c:v>
                </c:pt>
                <c:pt idx="19">
                  <c:v>0.2227272727272727</c:v>
                </c:pt>
                <c:pt idx="20">
                  <c:v>0.2318181818181818</c:v>
                </c:pt>
                <c:pt idx="21">
                  <c:v>0.2409090909090909</c:v>
                </c:pt>
                <c:pt idx="22">
                  <c:v>0.25</c:v>
                </c:pt>
                <c:pt idx="23">
                  <c:v>0.2590909090909091</c:v>
                </c:pt>
                <c:pt idx="24">
                  <c:v>0.2681818181818182</c:v>
                </c:pt>
                <c:pt idx="25">
                  <c:v>0.2772727272727273</c:v>
                </c:pt>
                <c:pt idx="26">
                  <c:v>0.2863636363636364</c:v>
                </c:pt>
                <c:pt idx="27">
                  <c:v>0.2954545454545455</c:v>
                </c:pt>
                <c:pt idx="28">
                  <c:v>0.3045454545454545</c:v>
                </c:pt>
                <c:pt idx="29">
                  <c:v>0.3136363636363636</c:v>
                </c:pt>
                <c:pt idx="30">
                  <c:v>0.3227272727272727</c:v>
                </c:pt>
                <c:pt idx="31">
                  <c:v>0.3318181818181818</c:v>
                </c:pt>
                <c:pt idx="32">
                  <c:v>0.3409090909090909</c:v>
                </c:pt>
                <c:pt idx="33">
                  <c:v>0.35</c:v>
                </c:pt>
                <c:pt idx="34">
                  <c:v>0.3590909090909091</c:v>
                </c:pt>
                <c:pt idx="35">
                  <c:v>0.3681818181818182</c:v>
                </c:pt>
                <c:pt idx="36">
                  <c:v>0.3772727272727273</c:v>
                </c:pt>
                <c:pt idx="37">
                  <c:v>0.3863636363636364</c:v>
                </c:pt>
                <c:pt idx="38">
                  <c:v>0.3954545454545454</c:v>
                </c:pt>
                <c:pt idx="39">
                  <c:v>0.4045454545454545</c:v>
                </c:pt>
                <c:pt idx="40">
                  <c:v>0.4136363636363636</c:v>
                </c:pt>
                <c:pt idx="41">
                  <c:v>0.4227272727272727</c:v>
                </c:pt>
                <c:pt idx="42">
                  <c:v>0.4318181818181818</c:v>
                </c:pt>
                <c:pt idx="43">
                  <c:v>0.4409090909090909</c:v>
                </c:pt>
                <c:pt idx="44">
                  <c:v>0.45</c:v>
                </c:pt>
                <c:pt idx="45">
                  <c:v>0.459090909090909</c:v>
                </c:pt>
                <c:pt idx="46">
                  <c:v>0.4681818181818181</c:v>
                </c:pt>
                <c:pt idx="47">
                  <c:v>0.4772727272727272</c:v>
                </c:pt>
                <c:pt idx="48">
                  <c:v>0.4863636363636363</c:v>
                </c:pt>
                <c:pt idx="49">
                  <c:v>0.4954545454545454</c:v>
                </c:pt>
                <c:pt idx="50">
                  <c:v>0.5045454545454545</c:v>
                </c:pt>
                <c:pt idx="51">
                  <c:v>0.5136363636363637</c:v>
                </c:pt>
                <c:pt idx="52">
                  <c:v>0.5227272727272727</c:v>
                </c:pt>
                <c:pt idx="53">
                  <c:v>0.5318181818181819</c:v>
                </c:pt>
                <c:pt idx="54">
                  <c:v>0.5409090909090909</c:v>
                </c:pt>
                <c:pt idx="55">
                  <c:v>0.55</c:v>
                </c:pt>
                <c:pt idx="56">
                  <c:v>0.5590909090909091</c:v>
                </c:pt>
                <c:pt idx="57">
                  <c:v>0.5681818181818182</c:v>
                </c:pt>
                <c:pt idx="58">
                  <c:v>0.5772727272727273</c:v>
                </c:pt>
                <c:pt idx="59">
                  <c:v>0.5863636363636364</c:v>
                </c:pt>
                <c:pt idx="60">
                  <c:v>0.5954545454545455</c:v>
                </c:pt>
                <c:pt idx="61">
                  <c:v>0.6045454545454546</c:v>
                </c:pt>
                <c:pt idx="62">
                  <c:v>0.6136363636363636</c:v>
                </c:pt>
                <c:pt idx="63">
                  <c:v>0.6227272727272728</c:v>
                </c:pt>
                <c:pt idx="64">
                  <c:v>0.6318181818181818</c:v>
                </c:pt>
                <c:pt idx="65">
                  <c:v>0.6409090909090909</c:v>
                </c:pt>
                <c:pt idx="66">
                  <c:v>0.65</c:v>
                </c:pt>
                <c:pt idx="67">
                  <c:v>0.6590909090909091</c:v>
                </c:pt>
                <c:pt idx="68">
                  <c:v>0.6681818181818182</c:v>
                </c:pt>
                <c:pt idx="69">
                  <c:v>0.6772727272727272</c:v>
                </c:pt>
                <c:pt idx="70">
                  <c:v>0.6863636363636364</c:v>
                </c:pt>
                <c:pt idx="71">
                  <c:v>0.6954545454545454</c:v>
                </c:pt>
                <c:pt idx="72">
                  <c:v>0.7045454545454546</c:v>
                </c:pt>
                <c:pt idx="73">
                  <c:v>0.7136363636363636</c:v>
                </c:pt>
                <c:pt idx="74">
                  <c:v>0.7227272727272728</c:v>
                </c:pt>
                <c:pt idx="75">
                  <c:v>0.7318181818181818</c:v>
                </c:pt>
                <c:pt idx="76">
                  <c:v>0.740909090909091</c:v>
                </c:pt>
                <c:pt idx="77">
                  <c:v>0.75</c:v>
                </c:pt>
                <c:pt idx="78">
                  <c:v>0.7590909090909091</c:v>
                </c:pt>
                <c:pt idx="79">
                  <c:v>0.7681818181818182</c:v>
                </c:pt>
                <c:pt idx="80">
                  <c:v>0.7772727272727273</c:v>
                </c:pt>
                <c:pt idx="81">
                  <c:v>0.7863636363636364</c:v>
                </c:pt>
                <c:pt idx="82">
                  <c:v>0.7954545454545454</c:v>
                </c:pt>
                <c:pt idx="83">
                  <c:v>0.8045454545454546</c:v>
                </c:pt>
                <c:pt idx="84">
                  <c:v>0.8136363636363636</c:v>
                </c:pt>
                <c:pt idx="85">
                  <c:v>0.8227272727272728</c:v>
                </c:pt>
                <c:pt idx="86">
                  <c:v>0.8318181818181818</c:v>
                </c:pt>
                <c:pt idx="87">
                  <c:v>0.8409090909090909</c:v>
                </c:pt>
                <c:pt idx="88">
                  <c:v>0.85</c:v>
                </c:pt>
                <c:pt idx="89">
                  <c:v>0.8590909090909091</c:v>
                </c:pt>
                <c:pt idx="90">
                  <c:v>0.8681818181818182</c:v>
                </c:pt>
                <c:pt idx="91">
                  <c:v>0.8772727272727273</c:v>
                </c:pt>
                <c:pt idx="92">
                  <c:v>0.8863636363636364</c:v>
                </c:pt>
                <c:pt idx="93">
                  <c:v>0.8954545454545455</c:v>
                </c:pt>
                <c:pt idx="94">
                  <c:v>0.9045454545454545</c:v>
                </c:pt>
                <c:pt idx="95">
                  <c:v>0.9136363636363637</c:v>
                </c:pt>
                <c:pt idx="96">
                  <c:v>0.9227272727272727</c:v>
                </c:pt>
                <c:pt idx="97">
                  <c:v>0.9318181818181818</c:v>
                </c:pt>
                <c:pt idx="98">
                  <c:v>0.9409090909090909</c:v>
                </c:pt>
                <c:pt idx="99">
                  <c:v>0.95</c:v>
                </c:pt>
              </c:numCache>
            </c:numRef>
          </c:cat>
          <c:val>
            <c:numRef>
              <c:f>data!$E$2:$E$101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</c:ser>
        <c:ser>
          <c:idx val="4"/>
          <c:order val="4"/>
          <c:tx>
            <c:strRef>
              <c:f>data!$F$1</c:f>
              <c:strCache>
                <c:ptCount val="1"/>
                <c:pt idx="0">
                  <c:v>BA_gold=2</c:v>
                </c:pt>
              </c:strCache>
            </c:strRef>
          </c:tx>
          <c:marker>
            <c:symbol val="none"/>
          </c:marker>
          <c:cat>
            <c:numRef>
              <c:f>data!$A$2:$A$101</c:f>
              <c:numCache>
                <c:formatCode>General</c:formatCode>
                <c:ptCount val="100"/>
                <c:pt idx="0">
                  <c:v>0.05</c:v>
                </c:pt>
                <c:pt idx="1">
                  <c:v>0.0590909090909091</c:v>
                </c:pt>
                <c:pt idx="2">
                  <c:v>0.06818181818181818</c:v>
                </c:pt>
                <c:pt idx="3">
                  <c:v>0.07727272727272727</c:v>
                </c:pt>
                <c:pt idx="4">
                  <c:v>0.08636363636363636</c:v>
                </c:pt>
                <c:pt idx="5">
                  <c:v>0.09545454545454546</c:v>
                </c:pt>
                <c:pt idx="6">
                  <c:v>0.1045454545454546</c:v>
                </c:pt>
                <c:pt idx="7">
                  <c:v>0.1136363636363636</c:v>
                </c:pt>
                <c:pt idx="8">
                  <c:v>0.1227272727272727</c:v>
                </c:pt>
                <c:pt idx="9">
                  <c:v>0.1318181818181818</c:v>
                </c:pt>
                <c:pt idx="10">
                  <c:v>0.1409090909090909</c:v>
                </c:pt>
                <c:pt idx="11">
                  <c:v>0.15</c:v>
                </c:pt>
                <c:pt idx="12">
                  <c:v>0.1590909090909091</c:v>
                </c:pt>
                <c:pt idx="13">
                  <c:v>0.1681818181818182</c:v>
                </c:pt>
                <c:pt idx="14">
                  <c:v>0.1772727272727272</c:v>
                </c:pt>
                <c:pt idx="15">
                  <c:v>0.1863636363636363</c:v>
                </c:pt>
                <c:pt idx="16">
                  <c:v>0.1954545454545454</c:v>
                </c:pt>
                <c:pt idx="17">
                  <c:v>0.2045454545454545</c:v>
                </c:pt>
                <c:pt idx="18">
                  <c:v>0.2136363636363636</c:v>
                </c:pt>
                <c:pt idx="19">
                  <c:v>0.2227272727272727</c:v>
                </c:pt>
                <c:pt idx="20">
                  <c:v>0.2318181818181818</c:v>
                </c:pt>
                <c:pt idx="21">
                  <c:v>0.2409090909090909</c:v>
                </c:pt>
                <c:pt idx="22">
                  <c:v>0.25</c:v>
                </c:pt>
                <c:pt idx="23">
                  <c:v>0.2590909090909091</c:v>
                </c:pt>
                <c:pt idx="24">
                  <c:v>0.2681818181818182</c:v>
                </c:pt>
                <c:pt idx="25">
                  <c:v>0.2772727272727273</c:v>
                </c:pt>
                <c:pt idx="26">
                  <c:v>0.2863636363636364</c:v>
                </c:pt>
                <c:pt idx="27">
                  <c:v>0.2954545454545455</c:v>
                </c:pt>
                <c:pt idx="28">
                  <c:v>0.3045454545454545</c:v>
                </c:pt>
                <c:pt idx="29">
                  <c:v>0.3136363636363636</c:v>
                </c:pt>
                <c:pt idx="30">
                  <c:v>0.3227272727272727</c:v>
                </c:pt>
                <c:pt idx="31">
                  <c:v>0.3318181818181818</c:v>
                </c:pt>
                <c:pt idx="32">
                  <c:v>0.3409090909090909</c:v>
                </c:pt>
                <c:pt idx="33">
                  <c:v>0.35</c:v>
                </c:pt>
                <c:pt idx="34">
                  <c:v>0.3590909090909091</c:v>
                </c:pt>
                <c:pt idx="35">
                  <c:v>0.3681818181818182</c:v>
                </c:pt>
                <c:pt idx="36">
                  <c:v>0.3772727272727273</c:v>
                </c:pt>
                <c:pt idx="37">
                  <c:v>0.3863636363636364</c:v>
                </c:pt>
                <c:pt idx="38">
                  <c:v>0.3954545454545454</c:v>
                </c:pt>
                <c:pt idx="39">
                  <c:v>0.4045454545454545</c:v>
                </c:pt>
                <c:pt idx="40">
                  <c:v>0.4136363636363636</c:v>
                </c:pt>
                <c:pt idx="41">
                  <c:v>0.4227272727272727</c:v>
                </c:pt>
                <c:pt idx="42">
                  <c:v>0.4318181818181818</c:v>
                </c:pt>
                <c:pt idx="43">
                  <c:v>0.4409090909090909</c:v>
                </c:pt>
                <c:pt idx="44">
                  <c:v>0.45</c:v>
                </c:pt>
                <c:pt idx="45">
                  <c:v>0.459090909090909</c:v>
                </c:pt>
                <c:pt idx="46">
                  <c:v>0.4681818181818181</c:v>
                </c:pt>
                <c:pt idx="47">
                  <c:v>0.4772727272727272</c:v>
                </c:pt>
                <c:pt idx="48">
                  <c:v>0.4863636363636363</c:v>
                </c:pt>
                <c:pt idx="49">
                  <c:v>0.4954545454545454</c:v>
                </c:pt>
                <c:pt idx="50">
                  <c:v>0.5045454545454545</c:v>
                </c:pt>
                <c:pt idx="51">
                  <c:v>0.5136363636363637</c:v>
                </c:pt>
                <c:pt idx="52">
                  <c:v>0.5227272727272727</c:v>
                </c:pt>
                <c:pt idx="53">
                  <c:v>0.5318181818181819</c:v>
                </c:pt>
                <c:pt idx="54">
                  <c:v>0.5409090909090909</c:v>
                </c:pt>
                <c:pt idx="55">
                  <c:v>0.55</c:v>
                </c:pt>
                <c:pt idx="56">
                  <c:v>0.5590909090909091</c:v>
                </c:pt>
                <c:pt idx="57">
                  <c:v>0.5681818181818182</c:v>
                </c:pt>
                <c:pt idx="58">
                  <c:v>0.5772727272727273</c:v>
                </c:pt>
                <c:pt idx="59">
                  <c:v>0.5863636363636364</c:v>
                </c:pt>
                <c:pt idx="60">
                  <c:v>0.5954545454545455</c:v>
                </c:pt>
                <c:pt idx="61">
                  <c:v>0.6045454545454546</c:v>
                </c:pt>
                <c:pt idx="62">
                  <c:v>0.6136363636363636</c:v>
                </c:pt>
                <c:pt idx="63">
                  <c:v>0.6227272727272728</c:v>
                </c:pt>
                <c:pt idx="64">
                  <c:v>0.6318181818181818</c:v>
                </c:pt>
                <c:pt idx="65">
                  <c:v>0.6409090909090909</c:v>
                </c:pt>
                <c:pt idx="66">
                  <c:v>0.65</c:v>
                </c:pt>
                <c:pt idx="67">
                  <c:v>0.6590909090909091</c:v>
                </c:pt>
                <c:pt idx="68">
                  <c:v>0.6681818181818182</c:v>
                </c:pt>
                <c:pt idx="69">
                  <c:v>0.6772727272727272</c:v>
                </c:pt>
                <c:pt idx="70">
                  <c:v>0.6863636363636364</c:v>
                </c:pt>
                <c:pt idx="71">
                  <c:v>0.6954545454545454</c:v>
                </c:pt>
                <c:pt idx="72">
                  <c:v>0.7045454545454546</c:v>
                </c:pt>
                <c:pt idx="73">
                  <c:v>0.7136363636363636</c:v>
                </c:pt>
                <c:pt idx="74">
                  <c:v>0.7227272727272728</c:v>
                </c:pt>
                <c:pt idx="75">
                  <c:v>0.7318181818181818</c:v>
                </c:pt>
                <c:pt idx="76">
                  <c:v>0.740909090909091</c:v>
                </c:pt>
                <c:pt idx="77">
                  <c:v>0.75</c:v>
                </c:pt>
                <c:pt idx="78">
                  <c:v>0.7590909090909091</c:v>
                </c:pt>
                <c:pt idx="79">
                  <c:v>0.7681818181818182</c:v>
                </c:pt>
                <c:pt idx="80">
                  <c:v>0.7772727272727273</c:v>
                </c:pt>
                <c:pt idx="81">
                  <c:v>0.7863636363636364</c:v>
                </c:pt>
                <c:pt idx="82">
                  <c:v>0.7954545454545454</c:v>
                </c:pt>
                <c:pt idx="83">
                  <c:v>0.8045454545454546</c:v>
                </c:pt>
                <c:pt idx="84">
                  <c:v>0.8136363636363636</c:v>
                </c:pt>
                <c:pt idx="85">
                  <c:v>0.8227272727272728</c:v>
                </c:pt>
                <c:pt idx="86">
                  <c:v>0.8318181818181818</c:v>
                </c:pt>
                <c:pt idx="87">
                  <c:v>0.8409090909090909</c:v>
                </c:pt>
                <c:pt idx="88">
                  <c:v>0.85</c:v>
                </c:pt>
                <c:pt idx="89">
                  <c:v>0.8590909090909091</c:v>
                </c:pt>
                <c:pt idx="90">
                  <c:v>0.8681818181818182</c:v>
                </c:pt>
                <c:pt idx="91">
                  <c:v>0.8772727272727273</c:v>
                </c:pt>
                <c:pt idx="92">
                  <c:v>0.8863636363636364</c:v>
                </c:pt>
                <c:pt idx="93">
                  <c:v>0.8954545454545455</c:v>
                </c:pt>
                <c:pt idx="94">
                  <c:v>0.9045454545454545</c:v>
                </c:pt>
                <c:pt idx="95">
                  <c:v>0.9136363636363637</c:v>
                </c:pt>
                <c:pt idx="96">
                  <c:v>0.9227272727272727</c:v>
                </c:pt>
                <c:pt idx="97">
                  <c:v>0.9318181818181818</c:v>
                </c:pt>
                <c:pt idx="98">
                  <c:v>0.9409090909090909</c:v>
                </c:pt>
                <c:pt idx="99">
                  <c:v>0.95</c:v>
                </c:pt>
              </c:numCache>
            </c:numRef>
          </c:cat>
          <c:val>
            <c:numRef>
              <c:f>data!$F$2:$F$101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</c:ser>
        <c:ser>
          <c:idx val="5"/>
          <c:order val="5"/>
          <c:tx>
            <c:strRef>
              <c:f>data!$G$1</c:f>
              <c:strCache>
                <c:ptCount val="1"/>
                <c:pt idx="0">
                  <c:v>BA_gold=3</c:v>
                </c:pt>
              </c:strCache>
            </c:strRef>
          </c:tx>
          <c:marker>
            <c:symbol val="none"/>
          </c:marker>
          <c:cat>
            <c:numRef>
              <c:f>data!$A$2:$A$101</c:f>
              <c:numCache>
                <c:formatCode>General</c:formatCode>
                <c:ptCount val="100"/>
                <c:pt idx="0">
                  <c:v>0.05</c:v>
                </c:pt>
                <c:pt idx="1">
                  <c:v>0.0590909090909091</c:v>
                </c:pt>
                <c:pt idx="2">
                  <c:v>0.06818181818181818</c:v>
                </c:pt>
                <c:pt idx="3">
                  <c:v>0.07727272727272727</c:v>
                </c:pt>
                <c:pt idx="4">
                  <c:v>0.08636363636363636</c:v>
                </c:pt>
                <c:pt idx="5">
                  <c:v>0.09545454545454546</c:v>
                </c:pt>
                <c:pt idx="6">
                  <c:v>0.1045454545454546</c:v>
                </c:pt>
                <c:pt idx="7">
                  <c:v>0.1136363636363636</c:v>
                </c:pt>
                <c:pt idx="8">
                  <c:v>0.1227272727272727</c:v>
                </c:pt>
                <c:pt idx="9">
                  <c:v>0.1318181818181818</c:v>
                </c:pt>
                <c:pt idx="10">
                  <c:v>0.1409090909090909</c:v>
                </c:pt>
                <c:pt idx="11">
                  <c:v>0.15</c:v>
                </c:pt>
                <c:pt idx="12">
                  <c:v>0.1590909090909091</c:v>
                </c:pt>
                <c:pt idx="13">
                  <c:v>0.1681818181818182</c:v>
                </c:pt>
                <c:pt idx="14">
                  <c:v>0.1772727272727272</c:v>
                </c:pt>
                <c:pt idx="15">
                  <c:v>0.1863636363636363</c:v>
                </c:pt>
                <c:pt idx="16">
                  <c:v>0.1954545454545454</c:v>
                </c:pt>
                <c:pt idx="17">
                  <c:v>0.2045454545454545</c:v>
                </c:pt>
                <c:pt idx="18">
                  <c:v>0.2136363636363636</c:v>
                </c:pt>
                <c:pt idx="19">
                  <c:v>0.2227272727272727</c:v>
                </c:pt>
                <c:pt idx="20">
                  <c:v>0.2318181818181818</c:v>
                </c:pt>
                <c:pt idx="21">
                  <c:v>0.2409090909090909</c:v>
                </c:pt>
                <c:pt idx="22">
                  <c:v>0.25</c:v>
                </c:pt>
                <c:pt idx="23">
                  <c:v>0.2590909090909091</c:v>
                </c:pt>
                <c:pt idx="24">
                  <c:v>0.2681818181818182</c:v>
                </c:pt>
                <c:pt idx="25">
                  <c:v>0.2772727272727273</c:v>
                </c:pt>
                <c:pt idx="26">
                  <c:v>0.2863636363636364</c:v>
                </c:pt>
                <c:pt idx="27">
                  <c:v>0.2954545454545455</c:v>
                </c:pt>
                <c:pt idx="28">
                  <c:v>0.3045454545454545</c:v>
                </c:pt>
                <c:pt idx="29">
                  <c:v>0.3136363636363636</c:v>
                </c:pt>
                <c:pt idx="30">
                  <c:v>0.3227272727272727</c:v>
                </c:pt>
                <c:pt idx="31">
                  <c:v>0.3318181818181818</c:v>
                </c:pt>
                <c:pt idx="32">
                  <c:v>0.3409090909090909</c:v>
                </c:pt>
                <c:pt idx="33">
                  <c:v>0.35</c:v>
                </c:pt>
                <c:pt idx="34">
                  <c:v>0.3590909090909091</c:v>
                </c:pt>
                <c:pt idx="35">
                  <c:v>0.3681818181818182</c:v>
                </c:pt>
                <c:pt idx="36">
                  <c:v>0.3772727272727273</c:v>
                </c:pt>
                <c:pt idx="37">
                  <c:v>0.3863636363636364</c:v>
                </c:pt>
                <c:pt idx="38">
                  <c:v>0.3954545454545454</c:v>
                </c:pt>
                <c:pt idx="39">
                  <c:v>0.4045454545454545</c:v>
                </c:pt>
                <c:pt idx="40">
                  <c:v>0.4136363636363636</c:v>
                </c:pt>
                <c:pt idx="41">
                  <c:v>0.4227272727272727</c:v>
                </c:pt>
                <c:pt idx="42">
                  <c:v>0.4318181818181818</c:v>
                </c:pt>
                <c:pt idx="43">
                  <c:v>0.4409090909090909</c:v>
                </c:pt>
                <c:pt idx="44">
                  <c:v>0.45</c:v>
                </c:pt>
                <c:pt idx="45">
                  <c:v>0.459090909090909</c:v>
                </c:pt>
                <c:pt idx="46">
                  <c:v>0.4681818181818181</c:v>
                </c:pt>
                <c:pt idx="47">
                  <c:v>0.4772727272727272</c:v>
                </c:pt>
                <c:pt idx="48">
                  <c:v>0.4863636363636363</c:v>
                </c:pt>
                <c:pt idx="49">
                  <c:v>0.4954545454545454</c:v>
                </c:pt>
                <c:pt idx="50">
                  <c:v>0.5045454545454545</c:v>
                </c:pt>
                <c:pt idx="51">
                  <c:v>0.5136363636363637</c:v>
                </c:pt>
                <c:pt idx="52">
                  <c:v>0.5227272727272727</c:v>
                </c:pt>
                <c:pt idx="53">
                  <c:v>0.5318181818181819</c:v>
                </c:pt>
                <c:pt idx="54">
                  <c:v>0.5409090909090909</c:v>
                </c:pt>
                <c:pt idx="55">
                  <c:v>0.55</c:v>
                </c:pt>
                <c:pt idx="56">
                  <c:v>0.5590909090909091</c:v>
                </c:pt>
                <c:pt idx="57">
                  <c:v>0.5681818181818182</c:v>
                </c:pt>
                <c:pt idx="58">
                  <c:v>0.5772727272727273</c:v>
                </c:pt>
                <c:pt idx="59">
                  <c:v>0.5863636363636364</c:v>
                </c:pt>
                <c:pt idx="60">
                  <c:v>0.5954545454545455</c:v>
                </c:pt>
                <c:pt idx="61">
                  <c:v>0.6045454545454546</c:v>
                </c:pt>
                <c:pt idx="62">
                  <c:v>0.6136363636363636</c:v>
                </c:pt>
                <c:pt idx="63">
                  <c:v>0.6227272727272728</c:v>
                </c:pt>
                <c:pt idx="64">
                  <c:v>0.6318181818181818</c:v>
                </c:pt>
                <c:pt idx="65">
                  <c:v>0.6409090909090909</c:v>
                </c:pt>
                <c:pt idx="66">
                  <c:v>0.65</c:v>
                </c:pt>
                <c:pt idx="67">
                  <c:v>0.6590909090909091</c:v>
                </c:pt>
                <c:pt idx="68">
                  <c:v>0.6681818181818182</c:v>
                </c:pt>
                <c:pt idx="69">
                  <c:v>0.6772727272727272</c:v>
                </c:pt>
                <c:pt idx="70">
                  <c:v>0.6863636363636364</c:v>
                </c:pt>
                <c:pt idx="71">
                  <c:v>0.6954545454545454</c:v>
                </c:pt>
                <c:pt idx="72">
                  <c:v>0.7045454545454546</c:v>
                </c:pt>
                <c:pt idx="73">
                  <c:v>0.7136363636363636</c:v>
                </c:pt>
                <c:pt idx="74">
                  <c:v>0.7227272727272728</c:v>
                </c:pt>
                <c:pt idx="75">
                  <c:v>0.7318181818181818</c:v>
                </c:pt>
                <c:pt idx="76">
                  <c:v>0.740909090909091</c:v>
                </c:pt>
                <c:pt idx="77">
                  <c:v>0.75</c:v>
                </c:pt>
                <c:pt idx="78">
                  <c:v>0.7590909090909091</c:v>
                </c:pt>
                <c:pt idx="79">
                  <c:v>0.7681818181818182</c:v>
                </c:pt>
                <c:pt idx="80">
                  <c:v>0.7772727272727273</c:v>
                </c:pt>
                <c:pt idx="81">
                  <c:v>0.7863636363636364</c:v>
                </c:pt>
                <c:pt idx="82">
                  <c:v>0.7954545454545454</c:v>
                </c:pt>
                <c:pt idx="83">
                  <c:v>0.8045454545454546</c:v>
                </c:pt>
                <c:pt idx="84">
                  <c:v>0.8136363636363636</c:v>
                </c:pt>
                <c:pt idx="85">
                  <c:v>0.8227272727272728</c:v>
                </c:pt>
                <c:pt idx="86">
                  <c:v>0.8318181818181818</c:v>
                </c:pt>
                <c:pt idx="87">
                  <c:v>0.8409090909090909</c:v>
                </c:pt>
                <c:pt idx="88">
                  <c:v>0.85</c:v>
                </c:pt>
                <c:pt idx="89">
                  <c:v>0.8590909090909091</c:v>
                </c:pt>
                <c:pt idx="90">
                  <c:v>0.8681818181818182</c:v>
                </c:pt>
                <c:pt idx="91">
                  <c:v>0.8772727272727273</c:v>
                </c:pt>
                <c:pt idx="92">
                  <c:v>0.8863636363636364</c:v>
                </c:pt>
                <c:pt idx="93">
                  <c:v>0.8954545454545455</c:v>
                </c:pt>
                <c:pt idx="94">
                  <c:v>0.9045454545454545</c:v>
                </c:pt>
                <c:pt idx="95">
                  <c:v>0.9136363636363637</c:v>
                </c:pt>
                <c:pt idx="96">
                  <c:v>0.9227272727272727</c:v>
                </c:pt>
                <c:pt idx="97">
                  <c:v>0.9318181818181818</c:v>
                </c:pt>
                <c:pt idx="98">
                  <c:v>0.9409090909090909</c:v>
                </c:pt>
                <c:pt idx="99">
                  <c:v>0.95</c:v>
                </c:pt>
              </c:numCache>
            </c:numRef>
          </c:cat>
          <c:val>
            <c:numRef>
              <c:f>data!$G$2:$G$101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Calibrated probability p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Score (approx)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12</xdr:col>
      <xdr:colOff>152400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100</v>
      </c>
    </row>
    <row r="3" spans="1:2">
      <c r="A3" t="s">
        <v>3</v>
      </c>
      <c r="B3">
        <v>1</v>
      </c>
    </row>
    <row r="4" spans="1:2">
      <c r="A4" t="s">
        <v>4</v>
      </c>
      <c r="B4">
        <v>2</v>
      </c>
    </row>
    <row r="5" spans="1:2">
      <c r="A5" t="s">
        <v>5</v>
      </c>
      <c r="B5">
        <v>100</v>
      </c>
    </row>
    <row r="6" spans="1:2">
      <c r="A6" t="s">
        <v>6</v>
      </c>
      <c r="B6">
        <v>0.7</v>
      </c>
    </row>
    <row r="7" spans="1:2">
      <c r="A7" t="s">
        <v>7</v>
      </c>
      <c r="B7">
        <v>0.1</v>
      </c>
    </row>
    <row r="8" spans="1:2">
      <c r="A8" t="s">
        <v>8</v>
      </c>
      <c r="B8">
        <v>0.8</v>
      </c>
    </row>
    <row r="10" spans="1:2">
      <c r="A10" t="s">
        <v>9</v>
      </c>
    </row>
    <row r="11" spans="1:2">
      <c r="A11" t="s">
        <v>10</v>
      </c>
      <c r="B11">
        <v>0</v>
      </c>
    </row>
    <row r="12" spans="1:2">
      <c r="A12" t="s">
        <v>11</v>
      </c>
      <c r="B12">
        <v>50</v>
      </c>
    </row>
    <row r="13" spans="1:2">
      <c r="A13" t="s">
        <v>12</v>
      </c>
      <c r="B13">
        <v>100</v>
      </c>
    </row>
    <row r="14" spans="1:2">
      <c r="A14" t="s">
        <v>13</v>
      </c>
      <c r="B14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sheetFormatPr defaultRowHeight="15"/>
  <sheetData>
    <row r="1" spans="1:7">
      <c r="A1" s="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 spans="1:7">
      <c r="A2">
        <v>0.05</v>
      </c>
      <c r="B2">
        <f>$A$2*reward*(1+MAX(0,5-expires)*0.1)*IF(lives&lt;=1, life_penalty_at_one, 1)</f>
        <v>0</v>
      </c>
      <c r="C2">
        <f>($A$2^IF(lives&lt;=1,1.8,IF(lives=2,1.5,1.2)))*(MAX(0,reward)^0.85)*(1+MIN(0.5,0.15*MAX(0,5-expires)))*IF($A$2&lt;0.4, MAX(0.5, 1 - IF(lives&lt;=1,1.2,IF(lives=2,0.8,0.5))*(0.4 - $A$2)), 1)</f>
        <v>0</v>
      </c>
      <c r="D2">
        <f>IF(lives&gt;1,$A$2*reward*(1+MAX(0,5-expires)*0.1)*IF(lives&lt;=1, life_penalty_at_one, 1),IF(gold0&lt;potion_cost,$A$2*reward*(1+MAX(0,5-expires)*0.1)*IF(lives&lt;=1, life_penalty_at_one, 1)*$A$2,MAX(0, $A$2*reward*(1+MAX(0,5-expires)*0.1)*IF(lives&lt;=1, life_penalty_at_one, 1)*($A$2+(1-$A$2)*q_survive_on_fail) - (1-$A$2)*potion_cost*gamma)))</f>
        <v>0</v>
      </c>
      <c r="E2">
        <f>IF(lives&gt;1,$A$2*reward*(1+MAX(0,5-expires)*0.1)*IF(lives&lt;=1, life_penalty_at_one, 1),IF(gold1&lt;potion_cost,$A$2*reward*(1+MAX(0,5-expires)*0.1)*IF(lives&lt;=1, life_penalty_at_one, 1)*$A$2,MAX(0, $A$2*reward*(1+MAX(0,5-expires)*0.1)*IF(lives&lt;=1, life_penalty_at_one, 1)*($A$2+(1-$A$2)*q_survive_on_fail) - (1-$A$2)*potion_cost*gamma)))</f>
        <v>0</v>
      </c>
      <c r="F2">
        <f>IF(lives&gt;1,$A$2*reward*(1+MAX(0,5-expires)*0.1)*IF(lives&lt;=1, life_penalty_at_one, 1),IF(gold2&lt;potion_cost,$A$2*reward*(1+MAX(0,5-expires)*0.1)*IF(lives&lt;=1, life_penalty_at_one, 1)*$A$2,MAX(0, $A$2*reward*(1+MAX(0,5-expires)*0.1)*IF(lives&lt;=1, life_penalty_at_one, 1)*($A$2+(1-$A$2)*q_survive_on_fail) - (1-$A$2)*potion_cost*gamma)))</f>
        <v>0</v>
      </c>
      <c r="G2">
        <f>IF(lives&gt;1,$A$2*reward*(1+MAX(0,5-expires)*0.1)*IF(lives&lt;=1, life_penalty_at_one, 1),IF(gold3&lt;potion_cost,$A$2*reward*(1+MAX(0,5-expires)*0.1)*IF(lives&lt;=1, life_penalty_at_one, 1)*$A$2,MAX(0, $A$2*reward*(1+MAX(0,5-expires)*0.1)*IF(lives&lt;=1, life_penalty_at_one, 1)*($A$2+(1-$A$2)*q_survive_on_fail) - (1-$A$2)*potion_cost*gamma)))</f>
        <v>0</v>
      </c>
    </row>
    <row r="3" spans="1:7">
      <c r="A3">
        <v>0.0590909090909091</v>
      </c>
      <c r="B3">
        <f>$A$3*reward*(1+MAX(0,5-expires)*0.1)*IF(lives&lt;=1, life_penalty_at_one, 1)</f>
        <v>0</v>
      </c>
      <c r="C3">
        <f>($A$3^IF(lives&lt;=1,1.8,IF(lives=2,1.5,1.2)))*(MAX(0,reward)^0.85)*(1+MIN(0.5,0.15*MAX(0,5-expires)))*IF($A$3&lt;0.4, MAX(0.5, 1 - IF(lives&lt;=1,1.2,IF(lives=2,0.8,0.5))*(0.4 - $A$3)), 1)</f>
        <v>0</v>
      </c>
      <c r="D3">
        <f>IF(lives&gt;1,$A$3*reward*(1+MAX(0,5-expires)*0.1)*IF(lives&lt;=1, life_penalty_at_one, 1),IF(gold0&lt;potion_cost,$A$3*reward*(1+MAX(0,5-expires)*0.1)*IF(lives&lt;=1, life_penalty_at_one, 1)*$A$3,MAX(0, $A$3*reward*(1+MAX(0,5-expires)*0.1)*IF(lives&lt;=1, life_penalty_at_one, 1)*($A$3+(1-$A$3)*q_survive_on_fail) - (1-$A$3)*potion_cost*gamma)))</f>
        <v>0</v>
      </c>
      <c r="E3">
        <f>IF(lives&gt;1,$A$3*reward*(1+MAX(0,5-expires)*0.1)*IF(lives&lt;=1, life_penalty_at_one, 1),IF(gold1&lt;potion_cost,$A$3*reward*(1+MAX(0,5-expires)*0.1)*IF(lives&lt;=1, life_penalty_at_one, 1)*$A$3,MAX(0, $A$3*reward*(1+MAX(0,5-expires)*0.1)*IF(lives&lt;=1, life_penalty_at_one, 1)*($A$3+(1-$A$3)*q_survive_on_fail) - (1-$A$3)*potion_cost*gamma)))</f>
        <v>0</v>
      </c>
      <c r="F3">
        <f>IF(lives&gt;1,$A$3*reward*(1+MAX(0,5-expires)*0.1)*IF(lives&lt;=1, life_penalty_at_one, 1),IF(gold2&lt;potion_cost,$A$3*reward*(1+MAX(0,5-expires)*0.1)*IF(lives&lt;=1, life_penalty_at_one, 1)*$A$3,MAX(0, $A$3*reward*(1+MAX(0,5-expires)*0.1)*IF(lives&lt;=1, life_penalty_at_one, 1)*($A$3+(1-$A$3)*q_survive_on_fail) - (1-$A$3)*potion_cost*gamma)))</f>
        <v>0</v>
      </c>
      <c r="G3">
        <f>IF(lives&gt;1,$A$3*reward*(1+MAX(0,5-expires)*0.1)*IF(lives&lt;=1, life_penalty_at_one, 1),IF(gold3&lt;potion_cost,$A$3*reward*(1+MAX(0,5-expires)*0.1)*IF(lives&lt;=1, life_penalty_at_one, 1)*$A$3,MAX(0, $A$3*reward*(1+MAX(0,5-expires)*0.1)*IF(lives&lt;=1, life_penalty_at_one, 1)*($A$3+(1-$A$3)*q_survive_on_fail) - (1-$A$3)*potion_cost*gamma)))</f>
        <v>0</v>
      </c>
    </row>
    <row r="4" spans="1:7">
      <c r="A4">
        <v>0.06818181818181818</v>
      </c>
      <c r="B4">
        <f>$A$4*reward*(1+MAX(0,5-expires)*0.1)*IF(lives&lt;=1, life_penalty_at_one, 1)</f>
        <v>0</v>
      </c>
      <c r="C4">
        <f>($A$4^IF(lives&lt;=1,1.8,IF(lives=2,1.5,1.2)))*(MAX(0,reward)^0.85)*(1+MIN(0.5,0.15*MAX(0,5-expires)))*IF($A$4&lt;0.4, MAX(0.5, 1 - IF(lives&lt;=1,1.2,IF(lives=2,0.8,0.5))*(0.4 - $A$4)), 1)</f>
        <v>0</v>
      </c>
      <c r="D4">
        <f>IF(lives&gt;1,$A$4*reward*(1+MAX(0,5-expires)*0.1)*IF(lives&lt;=1, life_penalty_at_one, 1),IF(gold0&lt;potion_cost,$A$4*reward*(1+MAX(0,5-expires)*0.1)*IF(lives&lt;=1, life_penalty_at_one, 1)*$A$4,MAX(0, $A$4*reward*(1+MAX(0,5-expires)*0.1)*IF(lives&lt;=1, life_penalty_at_one, 1)*($A$4+(1-$A$4)*q_survive_on_fail) - (1-$A$4)*potion_cost*gamma)))</f>
        <v>0</v>
      </c>
      <c r="E4">
        <f>IF(lives&gt;1,$A$4*reward*(1+MAX(0,5-expires)*0.1)*IF(lives&lt;=1, life_penalty_at_one, 1),IF(gold1&lt;potion_cost,$A$4*reward*(1+MAX(0,5-expires)*0.1)*IF(lives&lt;=1, life_penalty_at_one, 1)*$A$4,MAX(0, $A$4*reward*(1+MAX(0,5-expires)*0.1)*IF(lives&lt;=1, life_penalty_at_one, 1)*($A$4+(1-$A$4)*q_survive_on_fail) - (1-$A$4)*potion_cost*gamma)))</f>
        <v>0</v>
      </c>
      <c r="F4">
        <f>IF(lives&gt;1,$A$4*reward*(1+MAX(0,5-expires)*0.1)*IF(lives&lt;=1, life_penalty_at_one, 1),IF(gold2&lt;potion_cost,$A$4*reward*(1+MAX(0,5-expires)*0.1)*IF(lives&lt;=1, life_penalty_at_one, 1)*$A$4,MAX(0, $A$4*reward*(1+MAX(0,5-expires)*0.1)*IF(lives&lt;=1, life_penalty_at_one, 1)*($A$4+(1-$A$4)*q_survive_on_fail) - (1-$A$4)*potion_cost*gamma)))</f>
        <v>0</v>
      </c>
      <c r="G4">
        <f>IF(lives&gt;1,$A$4*reward*(1+MAX(0,5-expires)*0.1)*IF(lives&lt;=1, life_penalty_at_one, 1),IF(gold3&lt;potion_cost,$A$4*reward*(1+MAX(0,5-expires)*0.1)*IF(lives&lt;=1, life_penalty_at_one, 1)*$A$4,MAX(0, $A$4*reward*(1+MAX(0,5-expires)*0.1)*IF(lives&lt;=1, life_penalty_at_one, 1)*($A$4+(1-$A$4)*q_survive_on_fail) - (1-$A$4)*potion_cost*gamma)))</f>
        <v>0</v>
      </c>
    </row>
    <row r="5" spans="1:7">
      <c r="A5">
        <v>0.07727272727272727</v>
      </c>
      <c r="B5">
        <f>$A$5*reward*(1+MAX(0,5-expires)*0.1)*IF(lives&lt;=1, life_penalty_at_one, 1)</f>
        <v>0</v>
      </c>
      <c r="C5">
        <f>($A$5^IF(lives&lt;=1,1.8,IF(lives=2,1.5,1.2)))*(MAX(0,reward)^0.85)*(1+MIN(0.5,0.15*MAX(0,5-expires)))*IF($A$5&lt;0.4, MAX(0.5, 1 - IF(lives&lt;=1,1.2,IF(lives=2,0.8,0.5))*(0.4 - $A$5)), 1)</f>
        <v>0</v>
      </c>
      <c r="D5">
        <f>IF(lives&gt;1,$A$5*reward*(1+MAX(0,5-expires)*0.1)*IF(lives&lt;=1, life_penalty_at_one, 1),IF(gold0&lt;potion_cost,$A$5*reward*(1+MAX(0,5-expires)*0.1)*IF(lives&lt;=1, life_penalty_at_one, 1)*$A$5,MAX(0, $A$5*reward*(1+MAX(0,5-expires)*0.1)*IF(lives&lt;=1, life_penalty_at_one, 1)*($A$5+(1-$A$5)*q_survive_on_fail) - (1-$A$5)*potion_cost*gamma)))</f>
        <v>0</v>
      </c>
      <c r="E5">
        <f>IF(lives&gt;1,$A$5*reward*(1+MAX(0,5-expires)*0.1)*IF(lives&lt;=1, life_penalty_at_one, 1),IF(gold1&lt;potion_cost,$A$5*reward*(1+MAX(0,5-expires)*0.1)*IF(lives&lt;=1, life_penalty_at_one, 1)*$A$5,MAX(0, $A$5*reward*(1+MAX(0,5-expires)*0.1)*IF(lives&lt;=1, life_penalty_at_one, 1)*($A$5+(1-$A$5)*q_survive_on_fail) - (1-$A$5)*potion_cost*gamma)))</f>
        <v>0</v>
      </c>
      <c r="F5">
        <f>IF(lives&gt;1,$A$5*reward*(1+MAX(0,5-expires)*0.1)*IF(lives&lt;=1, life_penalty_at_one, 1),IF(gold2&lt;potion_cost,$A$5*reward*(1+MAX(0,5-expires)*0.1)*IF(lives&lt;=1, life_penalty_at_one, 1)*$A$5,MAX(0, $A$5*reward*(1+MAX(0,5-expires)*0.1)*IF(lives&lt;=1, life_penalty_at_one, 1)*($A$5+(1-$A$5)*q_survive_on_fail) - (1-$A$5)*potion_cost*gamma)))</f>
        <v>0</v>
      </c>
      <c r="G5">
        <f>IF(lives&gt;1,$A$5*reward*(1+MAX(0,5-expires)*0.1)*IF(lives&lt;=1, life_penalty_at_one, 1),IF(gold3&lt;potion_cost,$A$5*reward*(1+MAX(0,5-expires)*0.1)*IF(lives&lt;=1, life_penalty_at_one, 1)*$A$5,MAX(0, $A$5*reward*(1+MAX(0,5-expires)*0.1)*IF(lives&lt;=1, life_penalty_at_one, 1)*($A$5+(1-$A$5)*q_survive_on_fail) - (1-$A$5)*potion_cost*gamma)))</f>
        <v>0</v>
      </c>
    </row>
    <row r="6" spans="1:7">
      <c r="A6">
        <v>0.08636363636363636</v>
      </c>
      <c r="B6">
        <f>$A$6*reward*(1+MAX(0,5-expires)*0.1)*IF(lives&lt;=1, life_penalty_at_one, 1)</f>
        <v>0</v>
      </c>
      <c r="C6">
        <f>($A$6^IF(lives&lt;=1,1.8,IF(lives=2,1.5,1.2)))*(MAX(0,reward)^0.85)*(1+MIN(0.5,0.15*MAX(0,5-expires)))*IF($A$6&lt;0.4, MAX(0.5, 1 - IF(lives&lt;=1,1.2,IF(lives=2,0.8,0.5))*(0.4 - $A$6)), 1)</f>
        <v>0</v>
      </c>
      <c r="D6">
        <f>IF(lives&gt;1,$A$6*reward*(1+MAX(0,5-expires)*0.1)*IF(lives&lt;=1, life_penalty_at_one, 1),IF(gold0&lt;potion_cost,$A$6*reward*(1+MAX(0,5-expires)*0.1)*IF(lives&lt;=1, life_penalty_at_one, 1)*$A$6,MAX(0, $A$6*reward*(1+MAX(0,5-expires)*0.1)*IF(lives&lt;=1, life_penalty_at_one, 1)*($A$6+(1-$A$6)*q_survive_on_fail) - (1-$A$6)*potion_cost*gamma)))</f>
        <v>0</v>
      </c>
      <c r="E6">
        <f>IF(lives&gt;1,$A$6*reward*(1+MAX(0,5-expires)*0.1)*IF(lives&lt;=1, life_penalty_at_one, 1),IF(gold1&lt;potion_cost,$A$6*reward*(1+MAX(0,5-expires)*0.1)*IF(lives&lt;=1, life_penalty_at_one, 1)*$A$6,MAX(0, $A$6*reward*(1+MAX(0,5-expires)*0.1)*IF(lives&lt;=1, life_penalty_at_one, 1)*($A$6+(1-$A$6)*q_survive_on_fail) - (1-$A$6)*potion_cost*gamma)))</f>
        <v>0</v>
      </c>
      <c r="F6">
        <f>IF(lives&gt;1,$A$6*reward*(1+MAX(0,5-expires)*0.1)*IF(lives&lt;=1, life_penalty_at_one, 1),IF(gold2&lt;potion_cost,$A$6*reward*(1+MAX(0,5-expires)*0.1)*IF(lives&lt;=1, life_penalty_at_one, 1)*$A$6,MAX(0, $A$6*reward*(1+MAX(0,5-expires)*0.1)*IF(lives&lt;=1, life_penalty_at_one, 1)*($A$6+(1-$A$6)*q_survive_on_fail) - (1-$A$6)*potion_cost*gamma)))</f>
        <v>0</v>
      </c>
      <c r="G6">
        <f>IF(lives&gt;1,$A$6*reward*(1+MAX(0,5-expires)*0.1)*IF(lives&lt;=1, life_penalty_at_one, 1),IF(gold3&lt;potion_cost,$A$6*reward*(1+MAX(0,5-expires)*0.1)*IF(lives&lt;=1, life_penalty_at_one, 1)*$A$6,MAX(0, $A$6*reward*(1+MAX(0,5-expires)*0.1)*IF(lives&lt;=1, life_penalty_at_one, 1)*($A$6+(1-$A$6)*q_survive_on_fail) - (1-$A$6)*potion_cost*gamma)))</f>
        <v>0</v>
      </c>
    </row>
    <row r="7" spans="1:7">
      <c r="A7">
        <v>0.09545454545454546</v>
      </c>
      <c r="B7">
        <f>$A$7*reward*(1+MAX(0,5-expires)*0.1)*IF(lives&lt;=1, life_penalty_at_one, 1)</f>
        <v>0</v>
      </c>
      <c r="C7">
        <f>($A$7^IF(lives&lt;=1,1.8,IF(lives=2,1.5,1.2)))*(MAX(0,reward)^0.85)*(1+MIN(0.5,0.15*MAX(0,5-expires)))*IF($A$7&lt;0.4, MAX(0.5, 1 - IF(lives&lt;=1,1.2,IF(lives=2,0.8,0.5))*(0.4 - $A$7)), 1)</f>
        <v>0</v>
      </c>
      <c r="D7">
        <f>IF(lives&gt;1,$A$7*reward*(1+MAX(0,5-expires)*0.1)*IF(lives&lt;=1, life_penalty_at_one, 1),IF(gold0&lt;potion_cost,$A$7*reward*(1+MAX(0,5-expires)*0.1)*IF(lives&lt;=1, life_penalty_at_one, 1)*$A$7,MAX(0, $A$7*reward*(1+MAX(0,5-expires)*0.1)*IF(lives&lt;=1, life_penalty_at_one, 1)*($A$7+(1-$A$7)*q_survive_on_fail) - (1-$A$7)*potion_cost*gamma)))</f>
        <v>0</v>
      </c>
      <c r="E7">
        <f>IF(lives&gt;1,$A$7*reward*(1+MAX(0,5-expires)*0.1)*IF(lives&lt;=1, life_penalty_at_one, 1),IF(gold1&lt;potion_cost,$A$7*reward*(1+MAX(0,5-expires)*0.1)*IF(lives&lt;=1, life_penalty_at_one, 1)*$A$7,MAX(0, $A$7*reward*(1+MAX(0,5-expires)*0.1)*IF(lives&lt;=1, life_penalty_at_one, 1)*($A$7+(1-$A$7)*q_survive_on_fail) - (1-$A$7)*potion_cost*gamma)))</f>
        <v>0</v>
      </c>
      <c r="F7">
        <f>IF(lives&gt;1,$A$7*reward*(1+MAX(0,5-expires)*0.1)*IF(lives&lt;=1, life_penalty_at_one, 1),IF(gold2&lt;potion_cost,$A$7*reward*(1+MAX(0,5-expires)*0.1)*IF(lives&lt;=1, life_penalty_at_one, 1)*$A$7,MAX(0, $A$7*reward*(1+MAX(0,5-expires)*0.1)*IF(lives&lt;=1, life_penalty_at_one, 1)*($A$7+(1-$A$7)*q_survive_on_fail) - (1-$A$7)*potion_cost*gamma)))</f>
        <v>0</v>
      </c>
      <c r="G7">
        <f>IF(lives&gt;1,$A$7*reward*(1+MAX(0,5-expires)*0.1)*IF(lives&lt;=1, life_penalty_at_one, 1),IF(gold3&lt;potion_cost,$A$7*reward*(1+MAX(0,5-expires)*0.1)*IF(lives&lt;=1, life_penalty_at_one, 1)*$A$7,MAX(0, $A$7*reward*(1+MAX(0,5-expires)*0.1)*IF(lives&lt;=1, life_penalty_at_one, 1)*($A$7+(1-$A$7)*q_survive_on_fail) - (1-$A$7)*potion_cost*gamma)))</f>
        <v>0</v>
      </c>
    </row>
    <row r="8" spans="1:7">
      <c r="A8">
        <v>0.1045454545454546</v>
      </c>
      <c r="B8">
        <f>$A$8*reward*(1+MAX(0,5-expires)*0.1)*IF(lives&lt;=1, life_penalty_at_one, 1)</f>
        <v>0</v>
      </c>
      <c r="C8">
        <f>($A$8^IF(lives&lt;=1,1.8,IF(lives=2,1.5,1.2)))*(MAX(0,reward)^0.85)*(1+MIN(0.5,0.15*MAX(0,5-expires)))*IF($A$8&lt;0.4, MAX(0.5, 1 - IF(lives&lt;=1,1.2,IF(lives=2,0.8,0.5))*(0.4 - $A$8)), 1)</f>
        <v>0</v>
      </c>
      <c r="D8">
        <f>IF(lives&gt;1,$A$8*reward*(1+MAX(0,5-expires)*0.1)*IF(lives&lt;=1, life_penalty_at_one, 1),IF(gold0&lt;potion_cost,$A$8*reward*(1+MAX(0,5-expires)*0.1)*IF(lives&lt;=1, life_penalty_at_one, 1)*$A$8,MAX(0, $A$8*reward*(1+MAX(0,5-expires)*0.1)*IF(lives&lt;=1, life_penalty_at_one, 1)*($A$8+(1-$A$8)*q_survive_on_fail) - (1-$A$8)*potion_cost*gamma)))</f>
        <v>0</v>
      </c>
      <c r="E8">
        <f>IF(lives&gt;1,$A$8*reward*(1+MAX(0,5-expires)*0.1)*IF(lives&lt;=1, life_penalty_at_one, 1),IF(gold1&lt;potion_cost,$A$8*reward*(1+MAX(0,5-expires)*0.1)*IF(lives&lt;=1, life_penalty_at_one, 1)*$A$8,MAX(0, $A$8*reward*(1+MAX(0,5-expires)*0.1)*IF(lives&lt;=1, life_penalty_at_one, 1)*($A$8+(1-$A$8)*q_survive_on_fail) - (1-$A$8)*potion_cost*gamma)))</f>
        <v>0</v>
      </c>
      <c r="F8">
        <f>IF(lives&gt;1,$A$8*reward*(1+MAX(0,5-expires)*0.1)*IF(lives&lt;=1, life_penalty_at_one, 1),IF(gold2&lt;potion_cost,$A$8*reward*(1+MAX(0,5-expires)*0.1)*IF(lives&lt;=1, life_penalty_at_one, 1)*$A$8,MAX(0, $A$8*reward*(1+MAX(0,5-expires)*0.1)*IF(lives&lt;=1, life_penalty_at_one, 1)*($A$8+(1-$A$8)*q_survive_on_fail) - (1-$A$8)*potion_cost*gamma)))</f>
        <v>0</v>
      </c>
      <c r="G8">
        <f>IF(lives&gt;1,$A$8*reward*(1+MAX(0,5-expires)*0.1)*IF(lives&lt;=1, life_penalty_at_one, 1),IF(gold3&lt;potion_cost,$A$8*reward*(1+MAX(0,5-expires)*0.1)*IF(lives&lt;=1, life_penalty_at_one, 1)*$A$8,MAX(0, $A$8*reward*(1+MAX(0,5-expires)*0.1)*IF(lives&lt;=1, life_penalty_at_one, 1)*($A$8+(1-$A$8)*q_survive_on_fail) - (1-$A$8)*potion_cost*gamma)))</f>
        <v>0</v>
      </c>
    </row>
    <row r="9" spans="1:7">
      <c r="A9">
        <v>0.1136363636363636</v>
      </c>
      <c r="B9">
        <f>$A$9*reward*(1+MAX(0,5-expires)*0.1)*IF(lives&lt;=1, life_penalty_at_one, 1)</f>
        <v>0</v>
      </c>
      <c r="C9">
        <f>($A$9^IF(lives&lt;=1,1.8,IF(lives=2,1.5,1.2)))*(MAX(0,reward)^0.85)*(1+MIN(0.5,0.15*MAX(0,5-expires)))*IF($A$9&lt;0.4, MAX(0.5, 1 - IF(lives&lt;=1,1.2,IF(lives=2,0.8,0.5))*(0.4 - $A$9)), 1)</f>
        <v>0</v>
      </c>
      <c r="D9">
        <f>IF(lives&gt;1,$A$9*reward*(1+MAX(0,5-expires)*0.1)*IF(lives&lt;=1, life_penalty_at_one, 1),IF(gold0&lt;potion_cost,$A$9*reward*(1+MAX(0,5-expires)*0.1)*IF(lives&lt;=1, life_penalty_at_one, 1)*$A$9,MAX(0, $A$9*reward*(1+MAX(0,5-expires)*0.1)*IF(lives&lt;=1, life_penalty_at_one, 1)*($A$9+(1-$A$9)*q_survive_on_fail) - (1-$A$9)*potion_cost*gamma)))</f>
        <v>0</v>
      </c>
      <c r="E9">
        <f>IF(lives&gt;1,$A$9*reward*(1+MAX(0,5-expires)*0.1)*IF(lives&lt;=1, life_penalty_at_one, 1),IF(gold1&lt;potion_cost,$A$9*reward*(1+MAX(0,5-expires)*0.1)*IF(lives&lt;=1, life_penalty_at_one, 1)*$A$9,MAX(0, $A$9*reward*(1+MAX(0,5-expires)*0.1)*IF(lives&lt;=1, life_penalty_at_one, 1)*($A$9+(1-$A$9)*q_survive_on_fail) - (1-$A$9)*potion_cost*gamma)))</f>
        <v>0</v>
      </c>
      <c r="F9">
        <f>IF(lives&gt;1,$A$9*reward*(1+MAX(0,5-expires)*0.1)*IF(lives&lt;=1, life_penalty_at_one, 1),IF(gold2&lt;potion_cost,$A$9*reward*(1+MAX(0,5-expires)*0.1)*IF(lives&lt;=1, life_penalty_at_one, 1)*$A$9,MAX(0, $A$9*reward*(1+MAX(0,5-expires)*0.1)*IF(lives&lt;=1, life_penalty_at_one, 1)*($A$9+(1-$A$9)*q_survive_on_fail) - (1-$A$9)*potion_cost*gamma)))</f>
        <v>0</v>
      </c>
      <c r="G9">
        <f>IF(lives&gt;1,$A$9*reward*(1+MAX(0,5-expires)*0.1)*IF(lives&lt;=1, life_penalty_at_one, 1),IF(gold3&lt;potion_cost,$A$9*reward*(1+MAX(0,5-expires)*0.1)*IF(lives&lt;=1, life_penalty_at_one, 1)*$A$9,MAX(0, $A$9*reward*(1+MAX(0,5-expires)*0.1)*IF(lives&lt;=1, life_penalty_at_one, 1)*($A$9+(1-$A$9)*q_survive_on_fail) - (1-$A$9)*potion_cost*gamma)))</f>
        <v>0</v>
      </c>
    </row>
    <row r="10" spans="1:7">
      <c r="A10">
        <v>0.1227272727272727</v>
      </c>
      <c r="B10">
        <f>$A$10*reward*(1+MAX(0,5-expires)*0.1)*IF(lives&lt;=1, life_penalty_at_one, 1)</f>
        <v>0</v>
      </c>
      <c r="C10">
        <f>($A$10^IF(lives&lt;=1,1.8,IF(lives=2,1.5,1.2)))*(MAX(0,reward)^0.85)*(1+MIN(0.5,0.15*MAX(0,5-expires)))*IF($A$10&lt;0.4, MAX(0.5, 1 - IF(lives&lt;=1,1.2,IF(lives=2,0.8,0.5))*(0.4 - $A$10)), 1)</f>
        <v>0</v>
      </c>
      <c r="D10">
        <f>IF(lives&gt;1,$A$10*reward*(1+MAX(0,5-expires)*0.1)*IF(lives&lt;=1, life_penalty_at_one, 1),IF(gold0&lt;potion_cost,$A$10*reward*(1+MAX(0,5-expires)*0.1)*IF(lives&lt;=1, life_penalty_at_one, 1)*$A$10,MAX(0, $A$10*reward*(1+MAX(0,5-expires)*0.1)*IF(lives&lt;=1, life_penalty_at_one, 1)*($A$10+(1-$A$10)*q_survive_on_fail) - (1-$A$10)*potion_cost*gamma)))</f>
        <v>0</v>
      </c>
      <c r="E10">
        <f>IF(lives&gt;1,$A$10*reward*(1+MAX(0,5-expires)*0.1)*IF(lives&lt;=1, life_penalty_at_one, 1),IF(gold1&lt;potion_cost,$A$10*reward*(1+MAX(0,5-expires)*0.1)*IF(lives&lt;=1, life_penalty_at_one, 1)*$A$10,MAX(0, $A$10*reward*(1+MAX(0,5-expires)*0.1)*IF(lives&lt;=1, life_penalty_at_one, 1)*($A$10+(1-$A$10)*q_survive_on_fail) - (1-$A$10)*potion_cost*gamma)))</f>
        <v>0</v>
      </c>
      <c r="F10">
        <f>IF(lives&gt;1,$A$10*reward*(1+MAX(0,5-expires)*0.1)*IF(lives&lt;=1, life_penalty_at_one, 1),IF(gold2&lt;potion_cost,$A$10*reward*(1+MAX(0,5-expires)*0.1)*IF(lives&lt;=1, life_penalty_at_one, 1)*$A$10,MAX(0, $A$10*reward*(1+MAX(0,5-expires)*0.1)*IF(lives&lt;=1, life_penalty_at_one, 1)*($A$10+(1-$A$10)*q_survive_on_fail) - (1-$A$10)*potion_cost*gamma)))</f>
        <v>0</v>
      </c>
      <c r="G10">
        <f>IF(lives&gt;1,$A$10*reward*(1+MAX(0,5-expires)*0.1)*IF(lives&lt;=1, life_penalty_at_one, 1),IF(gold3&lt;potion_cost,$A$10*reward*(1+MAX(0,5-expires)*0.1)*IF(lives&lt;=1, life_penalty_at_one, 1)*$A$10,MAX(0, $A$10*reward*(1+MAX(0,5-expires)*0.1)*IF(lives&lt;=1, life_penalty_at_one, 1)*($A$10+(1-$A$10)*q_survive_on_fail) - (1-$A$10)*potion_cost*gamma)))</f>
        <v>0</v>
      </c>
    </row>
    <row r="11" spans="1:7">
      <c r="A11">
        <v>0.1318181818181818</v>
      </c>
      <c r="B11">
        <f>$A$11*reward*(1+MAX(0,5-expires)*0.1)*IF(lives&lt;=1, life_penalty_at_one, 1)</f>
        <v>0</v>
      </c>
      <c r="C11">
        <f>($A$11^IF(lives&lt;=1,1.8,IF(lives=2,1.5,1.2)))*(MAX(0,reward)^0.85)*(1+MIN(0.5,0.15*MAX(0,5-expires)))*IF($A$11&lt;0.4, MAX(0.5, 1 - IF(lives&lt;=1,1.2,IF(lives=2,0.8,0.5))*(0.4 - $A$11)), 1)</f>
        <v>0</v>
      </c>
      <c r="D11">
        <f>IF(lives&gt;1,$A$11*reward*(1+MAX(0,5-expires)*0.1)*IF(lives&lt;=1, life_penalty_at_one, 1),IF(gold0&lt;potion_cost,$A$11*reward*(1+MAX(0,5-expires)*0.1)*IF(lives&lt;=1, life_penalty_at_one, 1)*$A$11,MAX(0, $A$11*reward*(1+MAX(0,5-expires)*0.1)*IF(lives&lt;=1, life_penalty_at_one, 1)*($A$11+(1-$A$11)*q_survive_on_fail) - (1-$A$11)*potion_cost*gamma)))</f>
        <v>0</v>
      </c>
      <c r="E11">
        <f>IF(lives&gt;1,$A$11*reward*(1+MAX(0,5-expires)*0.1)*IF(lives&lt;=1, life_penalty_at_one, 1),IF(gold1&lt;potion_cost,$A$11*reward*(1+MAX(0,5-expires)*0.1)*IF(lives&lt;=1, life_penalty_at_one, 1)*$A$11,MAX(0, $A$11*reward*(1+MAX(0,5-expires)*0.1)*IF(lives&lt;=1, life_penalty_at_one, 1)*($A$11+(1-$A$11)*q_survive_on_fail) - (1-$A$11)*potion_cost*gamma)))</f>
        <v>0</v>
      </c>
      <c r="F11">
        <f>IF(lives&gt;1,$A$11*reward*(1+MAX(0,5-expires)*0.1)*IF(lives&lt;=1, life_penalty_at_one, 1),IF(gold2&lt;potion_cost,$A$11*reward*(1+MAX(0,5-expires)*0.1)*IF(lives&lt;=1, life_penalty_at_one, 1)*$A$11,MAX(0, $A$11*reward*(1+MAX(0,5-expires)*0.1)*IF(lives&lt;=1, life_penalty_at_one, 1)*($A$11+(1-$A$11)*q_survive_on_fail) - (1-$A$11)*potion_cost*gamma)))</f>
        <v>0</v>
      </c>
      <c r="G11">
        <f>IF(lives&gt;1,$A$11*reward*(1+MAX(0,5-expires)*0.1)*IF(lives&lt;=1, life_penalty_at_one, 1),IF(gold3&lt;potion_cost,$A$11*reward*(1+MAX(0,5-expires)*0.1)*IF(lives&lt;=1, life_penalty_at_one, 1)*$A$11,MAX(0, $A$11*reward*(1+MAX(0,5-expires)*0.1)*IF(lives&lt;=1, life_penalty_at_one, 1)*($A$11+(1-$A$11)*q_survive_on_fail) - (1-$A$11)*potion_cost*gamma)))</f>
        <v>0</v>
      </c>
    </row>
    <row r="12" spans="1:7">
      <c r="A12">
        <v>0.1409090909090909</v>
      </c>
      <c r="B12">
        <f>$A$12*reward*(1+MAX(0,5-expires)*0.1)*IF(lives&lt;=1, life_penalty_at_one, 1)</f>
        <v>0</v>
      </c>
      <c r="C12">
        <f>($A$12^IF(lives&lt;=1,1.8,IF(lives=2,1.5,1.2)))*(MAX(0,reward)^0.85)*(1+MIN(0.5,0.15*MAX(0,5-expires)))*IF($A$12&lt;0.4, MAX(0.5, 1 - IF(lives&lt;=1,1.2,IF(lives=2,0.8,0.5))*(0.4 - $A$12)), 1)</f>
        <v>0</v>
      </c>
      <c r="D12">
        <f>IF(lives&gt;1,$A$12*reward*(1+MAX(0,5-expires)*0.1)*IF(lives&lt;=1, life_penalty_at_one, 1),IF(gold0&lt;potion_cost,$A$12*reward*(1+MAX(0,5-expires)*0.1)*IF(lives&lt;=1, life_penalty_at_one, 1)*$A$12,MAX(0, $A$12*reward*(1+MAX(0,5-expires)*0.1)*IF(lives&lt;=1, life_penalty_at_one, 1)*($A$12+(1-$A$12)*q_survive_on_fail) - (1-$A$12)*potion_cost*gamma)))</f>
        <v>0</v>
      </c>
      <c r="E12">
        <f>IF(lives&gt;1,$A$12*reward*(1+MAX(0,5-expires)*0.1)*IF(lives&lt;=1, life_penalty_at_one, 1),IF(gold1&lt;potion_cost,$A$12*reward*(1+MAX(0,5-expires)*0.1)*IF(lives&lt;=1, life_penalty_at_one, 1)*$A$12,MAX(0, $A$12*reward*(1+MAX(0,5-expires)*0.1)*IF(lives&lt;=1, life_penalty_at_one, 1)*($A$12+(1-$A$12)*q_survive_on_fail) - (1-$A$12)*potion_cost*gamma)))</f>
        <v>0</v>
      </c>
      <c r="F12">
        <f>IF(lives&gt;1,$A$12*reward*(1+MAX(0,5-expires)*0.1)*IF(lives&lt;=1, life_penalty_at_one, 1),IF(gold2&lt;potion_cost,$A$12*reward*(1+MAX(0,5-expires)*0.1)*IF(lives&lt;=1, life_penalty_at_one, 1)*$A$12,MAX(0, $A$12*reward*(1+MAX(0,5-expires)*0.1)*IF(lives&lt;=1, life_penalty_at_one, 1)*($A$12+(1-$A$12)*q_survive_on_fail) - (1-$A$12)*potion_cost*gamma)))</f>
        <v>0</v>
      </c>
      <c r="G12">
        <f>IF(lives&gt;1,$A$12*reward*(1+MAX(0,5-expires)*0.1)*IF(lives&lt;=1, life_penalty_at_one, 1),IF(gold3&lt;potion_cost,$A$12*reward*(1+MAX(0,5-expires)*0.1)*IF(lives&lt;=1, life_penalty_at_one, 1)*$A$12,MAX(0, $A$12*reward*(1+MAX(0,5-expires)*0.1)*IF(lives&lt;=1, life_penalty_at_one, 1)*($A$12+(1-$A$12)*q_survive_on_fail) - (1-$A$12)*potion_cost*gamma)))</f>
        <v>0</v>
      </c>
    </row>
    <row r="13" spans="1:7">
      <c r="A13">
        <v>0.15</v>
      </c>
      <c r="B13">
        <f>$A$13*reward*(1+MAX(0,5-expires)*0.1)*IF(lives&lt;=1, life_penalty_at_one, 1)</f>
        <v>0</v>
      </c>
      <c r="C13">
        <f>($A$13^IF(lives&lt;=1,1.8,IF(lives=2,1.5,1.2)))*(MAX(0,reward)^0.85)*(1+MIN(0.5,0.15*MAX(0,5-expires)))*IF($A$13&lt;0.4, MAX(0.5, 1 - IF(lives&lt;=1,1.2,IF(lives=2,0.8,0.5))*(0.4 - $A$13)), 1)</f>
        <v>0</v>
      </c>
      <c r="D13">
        <f>IF(lives&gt;1,$A$13*reward*(1+MAX(0,5-expires)*0.1)*IF(lives&lt;=1, life_penalty_at_one, 1),IF(gold0&lt;potion_cost,$A$13*reward*(1+MAX(0,5-expires)*0.1)*IF(lives&lt;=1, life_penalty_at_one, 1)*$A$13,MAX(0, $A$13*reward*(1+MAX(0,5-expires)*0.1)*IF(lives&lt;=1, life_penalty_at_one, 1)*($A$13+(1-$A$13)*q_survive_on_fail) - (1-$A$13)*potion_cost*gamma)))</f>
        <v>0</v>
      </c>
      <c r="E13">
        <f>IF(lives&gt;1,$A$13*reward*(1+MAX(0,5-expires)*0.1)*IF(lives&lt;=1, life_penalty_at_one, 1),IF(gold1&lt;potion_cost,$A$13*reward*(1+MAX(0,5-expires)*0.1)*IF(lives&lt;=1, life_penalty_at_one, 1)*$A$13,MAX(0, $A$13*reward*(1+MAX(0,5-expires)*0.1)*IF(lives&lt;=1, life_penalty_at_one, 1)*($A$13+(1-$A$13)*q_survive_on_fail) - (1-$A$13)*potion_cost*gamma)))</f>
        <v>0</v>
      </c>
      <c r="F13">
        <f>IF(lives&gt;1,$A$13*reward*(1+MAX(0,5-expires)*0.1)*IF(lives&lt;=1, life_penalty_at_one, 1),IF(gold2&lt;potion_cost,$A$13*reward*(1+MAX(0,5-expires)*0.1)*IF(lives&lt;=1, life_penalty_at_one, 1)*$A$13,MAX(0, $A$13*reward*(1+MAX(0,5-expires)*0.1)*IF(lives&lt;=1, life_penalty_at_one, 1)*($A$13+(1-$A$13)*q_survive_on_fail) - (1-$A$13)*potion_cost*gamma)))</f>
        <v>0</v>
      </c>
      <c r="G13">
        <f>IF(lives&gt;1,$A$13*reward*(1+MAX(0,5-expires)*0.1)*IF(lives&lt;=1, life_penalty_at_one, 1),IF(gold3&lt;potion_cost,$A$13*reward*(1+MAX(0,5-expires)*0.1)*IF(lives&lt;=1, life_penalty_at_one, 1)*$A$13,MAX(0, $A$13*reward*(1+MAX(0,5-expires)*0.1)*IF(lives&lt;=1, life_penalty_at_one, 1)*($A$13+(1-$A$13)*q_survive_on_fail) - (1-$A$13)*potion_cost*gamma)))</f>
        <v>0</v>
      </c>
    </row>
    <row r="14" spans="1:7">
      <c r="A14">
        <v>0.1590909090909091</v>
      </c>
      <c r="B14">
        <f>$A$14*reward*(1+MAX(0,5-expires)*0.1)*IF(lives&lt;=1, life_penalty_at_one, 1)</f>
        <v>0</v>
      </c>
      <c r="C14">
        <f>($A$14^IF(lives&lt;=1,1.8,IF(lives=2,1.5,1.2)))*(MAX(0,reward)^0.85)*(1+MIN(0.5,0.15*MAX(0,5-expires)))*IF($A$14&lt;0.4, MAX(0.5, 1 - IF(lives&lt;=1,1.2,IF(lives=2,0.8,0.5))*(0.4 - $A$14)), 1)</f>
        <v>0</v>
      </c>
      <c r="D14">
        <f>IF(lives&gt;1,$A$14*reward*(1+MAX(0,5-expires)*0.1)*IF(lives&lt;=1, life_penalty_at_one, 1),IF(gold0&lt;potion_cost,$A$14*reward*(1+MAX(0,5-expires)*0.1)*IF(lives&lt;=1, life_penalty_at_one, 1)*$A$14,MAX(0, $A$14*reward*(1+MAX(0,5-expires)*0.1)*IF(lives&lt;=1, life_penalty_at_one, 1)*($A$14+(1-$A$14)*q_survive_on_fail) - (1-$A$14)*potion_cost*gamma)))</f>
        <v>0</v>
      </c>
      <c r="E14">
        <f>IF(lives&gt;1,$A$14*reward*(1+MAX(0,5-expires)*0.1)*IF(lives&lt;=1, life_penalty_at_one, 1),IF(gold1&lt;potion_cost,$A$14*reward*(1+MAX(0,5-expires)*0.1)*IF(lives&lt;=1, life_penalty_at_one, 1)*$A$14,MAX(0, $A$14*reward*(1+MAX(0,5-expires)*0.1)*IF(lives&lt;=1, life_penalty_at_one, 1)*($A$14+(1-$A$14)*q_survive_on_fail) - (1-$A$14)*potion_cost*gamma)))</f>
        <v>0</v>
      </c>
      <c r="F14">
        <f>IF(lives&gt;1,$A$14*reward*(1+MAX(0,5-expires)*0.1)*IF(lives&lt;=1, life_penalty_at_one, 1),IF(gold2&lt;potion_cost,$A$14*reward*(1+MAX(0,5-expires)*0.1)*IF(lives&lt;=1, life_penalty_at_one, 1)*$A$14,MAX(0, $A$14*reward*(1+MAX(0,5-expires)*0.1)*IF(lives&lt;=1, life_penalty_at_one, 1)*($A$14+(1-$A$14)*q_survive_on_fail) - (1-$A$14)*potion_cost*gamma)))</f>
        <v>0</v>
      </c>
      <c r="G14">
        <f>IF(lives&gt;1,$A$14*reward*(1+MAX(0,5-expires)*0.1)*IF(lives&lt;=1, life_penalty_at_one, 1),IF(gold3&lt;potion_cost,$A$14*reward*(1+MAX(0,5-expires)*0.1)*IF(lives&lt;=1, life_penalty_at_one, 1)*$A$14,MAX(0, $A$14*reward*(1+MAX(0,5-expires)*0.1)*IF(lives&lt;=1, life_penalty_at_one, 1)*($A$14+(1-$A$14)*q_survive_on_fail) - (1-$A$14)*potion_cost*gamma)))</f>
        <v>0</v>
      </c>
    </row>
    <row r="15" spans="1:7">
      <c r="A15">
        <v>0.1681818181818182</v>
      </c>
      <c r="B15">
        <f>$A$15*reward*(1+MAX(0,5-expires)*0.1)*IF(lives&lt;=1, life_penalty_at_one, 1)</f>
        <v>0</v>
      </c>
      <c r="C15">
        <f>($A$15^IF(lives&lt;=1,1.8,IF(lives=2,1.5,1.2)))*(MAX(0,reward)^0.85)*(1+MIN(0.5,0.15*MAX(0,5-expires)))*IF($A$15&lt;0.4, MAX(0.5, 1 - IF(lives&lt;=1,1.2,IF(lives=2,0.8,0.5))*(0.4 - $A$15)), 1)</f>
        <v>0</v>
      </c>
      <c r="D15">
        <f>IF(lives&gt;1,$A$15*reward*(1+MAX(0,5-expires)*0.1)*IF(lives&lt;=1, life_penalty_at_one, 1),IF(gold0&lt;potion_cost,$A$15*reward*(1+MAX(0,5-expires)*0.1)*IF(lives&lt;=1, life_penalty_at_one, 1)*$A$15,MAX(0, $A$15*reward*(1+MAX(0,5-expires)*0.1)*IF(lives&lt;=1, life_penalty_at_one, 1)*($A$15+(1-$A$15)*q_survive_on_fail) - (1-$A$15)*potion_cost*gamma)))</f>
        <v>0</v>
      </c>
      <c r="E15">
        <f>IF(lives&gt;1,$A$15*reward*(1+MAX(0,5-expires)*0.1)*IF(lives&lt;=1, life_penalty_at_one, 1),IF(gold1&lt;potion_cost,$A$15*reward*(1+MAX(0,5-expires)*0.1)*IF(lives&lt;=1, life_penalty_at_one, 1)*$A$15,MAX(0, $A$15*reward*(1+MAX(0,5-expires)*0.1)*IF(lives&lt;=1, life_penalty_at_one, 1)*($A$15+(1-$A$15)*q_survive_on_fail) - (1-$A$15)*potion_cost*gamma)))</f>
        <v>0</v>
      </c>
      <c r="F15">
        <f>IF(lives&gt;1,$A$15*reward*(1+MAX(0,5-expires)*0.1)*IF(lives&lt;=1, life_penalty_at_one, 1),IF(gold2&lt;potion_cost,$A$15*reward*(1+MAX(0,5-expires)*0.1)*IF(lives&lt;=1, life_penalty_at_one, 1)*$A$15,MAX(0, $A$15*reward*(1+MAX(0,5-expires)*0.1)*IF(lives&lt;=1, life_penalty_at_one, 1)*($A$15+(1-$A$15)*q_survive_on_fail) - (1-$A$15)*potion_cost*gamma)))</f>
        <v>0</v>
      </c>
      <c r="G15">
        <f>IF(lives&gt;1,$A$15*reward*(1+MAX(0,5-expires)*0.1)*IF(lives&lt;=1, life_penalty_at_one, 1),IF(gold3&lt;potion_cost,$A$15*reward*(1+MAX(0,5-expires)*0.1)*IF(lives&lt;=1, life_penalty_at_one, 1)*$A$15,MAX(0, $A$15*reward*(1+MAX(0,5-expires)*0.1)*IF(lives&lt;=1, life_penalty_at_one, 1)*($A$15+(1-$A$15)*q_survive_on_fail) - (1-$A$15)*potion_cost*gamma)))</f>
        <v>0</v>
      </c>
    </row>
    <row r="16" spans="1:7">
      <c r="A16">
        <v>0.1772727272727272</v>
      </c>
      <c r="B16">
        <f>$A$16*reward*(1+MAX(0,5-expires)*0.1)*IF(lives&lt;=1, life_penalty_at_one, 1)</f>
        <v>0</v>
      </c>
      <c r="C16">
        <f>($A$16^IF(lives&lt;=1,1.8,IF(lives=2,1.5,1.2)))*(MAX(0,reward)^0.85)*(1+MIN(0.5,0.15*MAX(0,5-expires)))*IF($A$16&lt;0.4, MAX(0.5, 1 - IF(lives&lt;=1,1.2,IF(lives=2,0.8,0.5))*(0.4 - $A$16)), 1)</f>
        <v>0</v>
      </c>
      <c r="D16">
        <f>IF(lives&gt;1,$A$16*reward*(1+MAX(0,5-expires)*0.1)*IF(lives&lt;=1, life_penalty_at_one, 1),IF(gold0&lt;potion_cost,$A$16*reward*(1+MAX(0,5-expires)*0.1)*IF(lives&lt;=1, life_penalty_at_one, 1)*$A$16,MAX(0, $A$16*reward*(1+MAX(0,5-expires)*0.1)*IF(lives&lt;=1, life_penalty_at_one, 1)*($A$16+(1-$A$16)*q_survive_on_fail) - (1-$A$16)*potion_cost*gamma)))</f>
        <v>0</v>
      </c>
      <c r="E16">
        <f>IF(lives&gt;1,$A$16*reward*(1+MAX(0,5-expires)*0.1)*IF(lives&lt;=1, life_penalty_at_one, 1),IF(gold1&lt;potion_cost,$A$16*reward*(1+MAX(0,5-expires)*0.1)*IF(lives&lt;=1, life_penalty_at_one, 1)*$A$16,MAX(0, $A$16*reward*(1+MAX(0,5-expires)*0.1)*IF(lives&lt;=1, life_penalty_at_one, 1)*($A$16+(1-$A$16)*q_survive_on_fail) - (1-$A$16)*potion_cost*gamma)))</f>
        <v>0</v>
      </c>
      <c r="F16">
        <f>IF(lives&gt;1,$A$16*reward*(1+MAX(0,5-expires)*0.1)*IF(lives&lt;=1, life_penalty_at_one, 1),IF(gold2&lt;potion_cost,$A$16*reward*(1+MAX(0,5-expires)*0.1)*IF(lives&lt;=1, life_penalty_at_one, 1)*$A$16,MAX(0, $A$16*reward*(1+MAX(0,5-expires)*0.1)*IF(lives&lt;=1, life_penalty_at_one, 1)*($A$16+(1-$A$16)*q_survive_on_fail) - (1-$A$16)*potion_cost*gamma)))</f>
        <v>0</v>
      </c>
      <c r="G16">
        <f>IF(lives&gt;1,$A$16*reward*(1+MAX(0,5-expires)*0.1)*IF(lives&lt;=1, life_penalty_at_one, 1),IF(gold3&lt;potion_cost,$A$16*reward*(1+MAX(0,5-expires)*0.1)*IF(lives&lt;=1, life_penalty_at_one, 1)*$A$16,MAX(0, $A$16*reward*(1+MAX(0,5-expires)*0.1)*IF(lives&lt;=1, life_penalty_at_one, 1)*($A$16+(1-$A$16)*q_survive_on_fail) - (1-$A$16)*potion_cost*gamma)))</f>
        <v>0</v>
      </c>
    </row>
    <row r="17" spans="1:7">
      <c r="A17">
        <v>0.1863636363636363</v>
      </c>
      <c r="B17">
        <f>$A$17*reward*(1+MAX(0,5-expires)*0.1)*IF(lives&lt;=1, life_penalty_at_one, 1)</f>
        <v>0</v>
      </c>
      <c r="C17">
        <f>($A$17^IF(lives&lt;=1,1.8,IF(lives=2,1.5,1.2)))*(MAX(0,reward)^0.85)*(1+MIN(0.5,0.15*MAX(0,5-expires)))*IF($A$17&lt;0.4, MAX(0.5, 1 - IF(lives&lt;=1,1.2,IF(lives=2,0.8,0.5))*(0.4 - $A$17)), 1)</f>
        <v>0</v>
      </c>
      <c r="D17">
        <f>IF(lives&gt;1,$A$17*reward*(1+MAX(0,5-expires)*0.1)*IF(lives&lt;=1, life_penalty_at_one, 1),IF(gold0&lt;potion_cost,$A$17*reward*(1+MAX(0,5-expires)*0.1)*IF(lives&lt;=1, life_penalty_at_one, 1)*$A$17,MAX(0, $A$17*reward*(1+MAX(0,5-expires)*0.1)*IF(lives&lt;=1, life_penalty_at_one, 1)*($A$17+(1-$A$17)*q_survive_on_fail) - (1-$A$17)*potion_cost*gamma)))</f>
        <v>0</v>
      </c>
      <c r="E17">
        <f>IF(lives&gt;1,$A$17*reward*(1+MAX(0,5-expires)*0.1)*IF(lives&lt;=1, life_penalty_at_one, 1),IF(gold1&lt;potion_cost,$A$17*reward*(1+MAX(0,5-expires)*0.1)*IF(lives&lt;=1, life_penalty_at_one, 1)*$A$17,MAX(0, $A$17*reward*(1+MAX(0,5-expires)*0.1)*IF(lives&lt;=1, life_penalty_at_one, 1)*($A$17+(1-$A$17)*q_survive_on_fail) - (1-$A$17)*potion_cost*gamma)))</f>
        <v>0</v>
      </c>
      <c r="F17">
        <f>IF(lives&gt;1,$A$17*reward*(1+MAX(0,5-expires)*0.1)*IF(lives&lt;=1, life_penalty_at_one, 1),IF(gold2&lt;potion_cost,$A$17*reward*(1+MAX(0,5-expires)*0.1)*IF(lives&lt;=1, life_penalty_at_one, 1)*$A$17,MAX(0, $A$17*reward*(1+MAX(0,5-expires)*0.1)*IF(lives&lt;=1, life_penalty_at_one, 1)*($A$17+(1-$A$17)*q_survive_on_fail) - (1-$A$17)*potion_cost*gamma)))</f>
        <v>0</v>
      </c>
      <c r="G17">
        <f>IF(lives&gt;1,$A$17*reward*(1+MAX(0,5-expires)*0.1)*IF(lives&lt;=1, life_penalty_at_one, 1),IF(gold3&lt;potion_cost,$A$17*reward*(1+MAX(0,5-expires)*0.1)*IF(lives&lt;=1, life_penalty_at_one, 1)*$A$17,MAX(0, $A$17*reward*(1+MAX(0,5-expires)*0.1)*IF(lives&lt;=1, life_penalty_at_one, 1)*($A$17+(1-$A$17)*q_survive_on_fail) - (1-$A$17)*potion_cost*gamma)))</f>
        <v>0</v>
      </c>
    </row>
    <row r="18" spans="1:7">
      <c r="A18">
        <v>0.1954545454545454</v>
      </c>
      <c r="B18">
        <f>$A$18*reward*(1+MAX(0,5-expires)*0.1)*IF(lives&lt;=1, life_penalty_at_one, 1)</f>
        <v>0</v>
      </c>
      <c r="C18">
        <f>($A$18^IF(lives&lt;=1,1.8,IF(lives=2,1.5,1.2)))*(MAX(0,reward)^0.85)*(1+MIN(0.5,0.15*MAX(0,5-expires)))*IF($A$18&lt;0.4, MAX(0.5, 1 - IF(lives&lt;=1,1.2,IF(lives=2,0.8,0.5))*(0.4 - $A$18)), 1)</f>
        <v>0</v>
      </c>
      <c r="D18">
        <f>IF(lives&gt;1,$A$18*reward*(1+MAX(0,5-expires)*0.1)*IF(lives&lt;=1, life_penalty_at_one, 1),IF(gold0&lt;potion_cost,$A$18*reward*(1+MAX(0,5-expires)*0.1)*IF(lives&lt;=1, life_penalty_at_one, 1)*$A$18,MAX(0, $A$18*reward*(1+MAX(0,5-expires)*0.1)*IF(lives&lt;=1, life_penalty_at_one, 1)*($A$18+(1-$A$18)*q_survive_on_fail) - (1-$A$18)*potion_cost*gamma)))</f>
        <v>0</v>
      </c>
      <c r="E18">
        <f>IF(lives&gt;1,$A$18*reward*(1+MAX(0,5-expires)*0.1)*IF(lives&lt;=1, life_penalty_at_one, 1),IF(gold1&lt;potion_cost,$A$18*reward*(1+MAX(0,5-expires)*0.1)*IF(lives&lt;=1, life_penalty_at_one, 1)*$A$18,MAX(0, $A$18*reward*(1+MAX(0,5-expires)*0.1)*IF(lives&lt;=1, life_penalty_at_one, 1)*($A$18+(1-$A$18)*q_survive_on_fail) - (1-$A$18)*potion_cost*gamma)))</f>
        <v>0</v>
      </c>
      <c r="F18">
        <f>IF(lives&gt;1,$A$18*reward*(1+MAX(0,5-expires)*0.1)*IF(lives&lt;=1, life_penalty_at_one, 1),IF(gold2&lt;potion_cost,$A$18*reward*(1+MAX(0,5-expires)*0.1)*IF(lives&lt;=1, life_penalty_at_one, 1)*$A$18,MAX(0, $A$18*reward*(1+MAX(0,5-expires)*0.1)*IF(lives&lt;=1, life_penalty_at_one, 1)*($A$18+(1-$A$18)*q_survive_on_fail) - (1-$A$18)*potion_cost*gamma)))</f>
        <v>0</v>
      </c>
      <c r="G18">
        <f>IF(lives&gt;1,$A$18*reward*(1+MAX(0,5-expires)*0.1)*IF(lives&lt;=1, life_penalty_at_one, 1),IF(gold3&lt;potion_cost,$A$18*reward*(1+MAX(0,5-expires)*0.1)*IF(lives&lt;=1, life_penalty_at_one, 1)*$A$18,MAX(0, $A$18*reward*(1+MAX(0,5-expires)*0.1)*IF(lives&lt;=1, life_penalty_at_one, 1)*($A$18+(1-$A$18)*q_survive_on_fail) - (1-$A$18)*potion_cost*gamma)))</f>
        <v>0</v>
      </c>
    </row>
    <row r="19" spans="1:7">
      <c r="A19">
        <v>0.2045454545454545</v>
      </c>
      <c r="B19">
        <f>$A$19*reward*(1+MAX(0,5-expires)*0.1)*IF(lives&lt;=1, life_penalty_at_one, 1)</f>
        <v>0</v>
      </c>
      <c r="C19">
        <f>($A$19^IF(lives&lt;=1,1.8,IF(lives=2,1.5,1.2)))*(MAX(0,reward)^0.85)*(1+MIN(0.5,0.15*MAX(0,5-expires)))*IF($A$19&lt;0.4, MAX(0.5, 1 - IF(lives&lt;=1,1.2,IF(lives=2,0.8,0.5))*(0.4 - $A$19)), 1)</f>
        <v>0</v>
      </c>
      <c r="D19">
        <f>IF(lives&gt;1,$A$19*reward*(1+MAX(0,5-expires)*0.1)*IF(lives&lt;=1, life_penalty_at_one, 1),IF(gold0&lt;potion_cost,$A$19*reward*(1+MAX(0,5-expires)*0.1)*IF(lives&lt;=1, life_penalty_at_one, 1)*$A$19,MAX(0, $A$19*reward*(1+MAX(0,5-expires)*0.1)*IF(lives&lt;=1, life_penalty_at_one, 1)*($A$19+(1-$A$19)*q_survive_on_fail) - (1-$A$19)*potion_cost*gamma)))</f>
        <v>0</v>
      </c>
      <c r="E19">
        <f>IF(lives&gt;1,$A$19*reward*(1+MAX(0,5-expires)*0.1)*IF(lives&lt;=1, life_penalty_at_one, 1),IF(gold1&lt;potion_cost,$A$19*reward*(1+MAX(0,5-expires)*0.1)*IF(lives&lt;=1, life_penalty_at_one, 1)*$A$19,MAX(0, $A$19*reward*(1+MAX(0,5-expires)*0.1)*IF(lives&lt;=1, life_penalty_at_one, 1)*($A$19+(1-$A$19)*q_survive_on_fail) - (1-$A$19)*potion_cost*gamma)))</f>
        <v>0</v>
      </c>
      <c r="F19">
        <f>IF(lives&gt;1,$A$19*reward*(1+MAX(0,5-expires)*0.1)*IF(lives&lt;=1, life_penalty_at_one, 1),IF(gold2&lt;potion_cost,$A$19*reward*(1+MAX(0,5-expires)*0.1)*IF(lives&lt;=1, life_penalty_at_one, 1)*$A$19,MAX(0, $A$19*reward*(1+MAX(0,5-expires)*0.1)*IF(lives&lt;=1, life_penalty_at_one, 1)*($A$19+(1-$A$19)*q_survive_on_fail) - (1-$A$19)*potion_cost*gamma)))</f>
        <v>0</v>
      </c>
      <c r="G19">
        <f>IF(lives&gt;1,$A$19*reward*(1+MAX(0,5-expires)*0.1)*IF(lives&lt;=1, life_penalty_at_one, 1),IF(gold3&lt;potion_cost,$A$19*reward*(1+MAX(0,5-expires)*0.1)*IF(lives&lt;=1, life_penalty_at_one, 1)*$A$19,MAX(0, $A$19*reward*(1+MAX(0,5-expires)*0.1)*IF(lives&lt;=1, life_penalty_at_one, 1)*($A$19+(1-$A$19)*q_survive_on_fail) - (1-$A$19)*potion_cost*gamma)))</f>
        <v>0</v>
      </c>
    </row>
    <row r="20" spans="1:7">
      <c r="A20">
        <v>0.2136363636363636</v>
      </c>
      <c r="B20">
        <f>$A$20*reward*(1+MAX(0,5-expires)*0.1)*IF(lives&lt;=1, life_penalty_at_one, 1)</f>
        <v>0</v>
      </c>
      <c r="C20">
        <f>($A$20^IF(lives&lt;=1,1.8,IF(lives=2,1.5,1.2)))*(MAX(0,reward)^0.85)*(1+MIN(0.5,0.15*MAX(0,5-expires)))*IF($A$20&lt;0.4, MAX(0.5, 1 - IF(lives&lt;=1,1.2,IF(lives=2,0.8,0.5))*(0.4 - $A$20)), 1)</f>
        <v>0</v>
      </c>
      <c r="D20">
        <f>IF(lives&gt;1,$A$20*reward*(1+MAX(0,5-expires)*0.1)*IF(lives&lt;=1, life_penalty_at_one, 1),IF(gold0&lt;potion_cost,$A$20*reward*(1+MAX(0,5-expires)*0.1)*IF(lives&lt;=1, life_penalty_at_one, 1)*$A$20,MAX(0, $A$20*reward*(1+MAX(0,5-expires)*0.1)*IF(lives&lt;=1, life_penalty_at_one, 1)*($A$20+(1-$A$20)*q_survive_on_fail) - (1-$A$20)*potion_cost*gamma)))</f>
        <v>0</v>
      </c>
      <c r="E20">
        <f>IF(lives&gt;1,$A$20*reward*(1+MAX(0,5-expires)*0.1)*IF(lives&lt;=1, life_penalty_at_one, 1),IF(gold1&lt;potion_cost,$A$20*reward*(1+MAX(0,5-expires)*0.1)*IF(lives&lt;=1, life_penalty_at_one, 1)*$A$20,MAX(0, $A$20*reward*(1+MAX(0,5-expires)*0.1)*IF(lives&lt;=1, life_penalty_at_one, 1)*($A$20+(1-$A$20)*q_survive_on_fail) - (1-$A$20)*potion_cost*gamma)))</f>
        <v>0</v>
      </c>
      <c r="F20">
        <f>IF(lives&gt;1,$A$20*reward*(1+MAX(0,5-expires)*0.1)*IF(lives&lt;=1, life_penalty_at_one, 1),IF(gold2&lt;potion_cost,$A$20*reward*(1+MAX(0,5-expires)*0.1)*IF(lives&lt;=1, life_penalty_at_one, 1)*$A$20,MAX(0, $A$20*reward*(1+MAX(0,5-expires)*0.1)*IF(lives&lt;=1, life_penalty_at_one, 1)*($A$20+(1-$A$20)*q_survive_on_fail) - (1-$A$20)*potion_cost*gamma)))</f>
        <v>0</v>
      </c>
      <c r="G20">
        <f>IF(lives&gt;1,$A$20*reward*(1+MAX(0,5-expires)*0.1)*IF(lives&lt;=1, life_penalty_at_one, 1),IF(gold3&lt;potion_cost,$A$20*reward*(1+MAX(0,5-expires)*0.1)*IF(lives&lt;=1, life_penalty_at_one, 1)*$A$20,MAX(0, $A$20*reward*(1+MAX(0,5-expires)*0.1)*IF(lives&lt;=1, life_penalty_at_one, 1)*($A$20+(1-$A$20)*q_survive_on_fail) - (1-$A$20)*potion_cost*gamma)))</f>
        <v>0</v>
      </c>
    </row>
    <row r="21" spans="1:7">
      <c r="A21">
        <v>0.2227272727272727</v>
      </c>
      <c r="B21">
        <f>$A$21*reward*(1+MAX(0,5-expires)*0.1)*IF(lives&lt;=1, life_penalty_at_one, 1)</f>
        <v>0</v>
      </c>
      <c r="C21">
        <f>($A$21^IF(lives&lt;=1,1.8,IF(lives=2,1.5,1.2)))*(MAX(0,reward)^0.85)*(1+MIN(0.5,0.15*MAX(0,5-expires)))*IF($A$21&lt;0.4, MAX(0.5, 1 - IF(lives&lt;=1,1.2,IF(lives=2,0.8,0.5))*(0.4 - $A$21)), 1)</f>
        <v>0</v>
      </c>
      <c r="D21">
        <f>IF(lives&gt;1,$A$21*reward*(1+MAX(0,5-expires)*0.1)*IF(lives&lt;=1, life_penalty_at_one, 1),IF(gold0&lt;potion_cost,$A$21*reward*(1+MAX(0,5-expires)*0.1)*IF(lives&lt;=1, life_penalty_at_one, 1)*$A$21,MAX(0, $A$21*reward*(1+MAX(0,5-expires)*0.1)*IF(lives&lt;=1, life_penalty_at_one, 1)*($A$21+(1-$A$21)*q_survive_on_fail) - (1-$A$21)*potion_cost*gamma)))</f>
        <v>0</v>
      </c>
      <c r="E21">
        <f>IF(lives&gt;1,$A$21*reward*(1+MAX(0,5-expires)*0.1)*IF(lives&lt;=1, life_penalty_at_one, 1),IF(gold1&lt;potion_cost,$A$21*reward*(1+MAX(0,5-expires)*0.1)*IF(lives&lt;=1, life_penalty_at_one, 1)*$A$21,MAX(0, $A$21*reward*(1+MAX(0,5-expires)*0.1)*IF(lives&lt;=1, life_penalty_at_one, 1)*($A$21+(1-$A$21)*q_survive_on_fail) - (1-$A$21)*potion_cost*gamma)))</f>
        <v>0</v>
      </c>
      <c r="F21">
        <f>IF(lives&gt;1,$A$21*reward*(1+MAX(0,5-expires)*0.1)*IF(lives&lt;=1, life_penalty_at_one, 1),IF(gold2&lt;potion_cost,$A$21*reward*(1+MAX(0,5-expires)*0.1)*IF(lives&lt;=1, life_penalty_at_one, 1)*$A$21,MAX(0, $A$21*reward*(1+MAX(0,5-expires)*0.1)*IF(lives&lt;=1, life_penalty_at_one, 1)*($A$21+(1-$A$21)*q_survive_on_fail) - (1-$A$21)*potion_cost*gamma)))</f>
        <v>0</v>
      </c>
      <c r="G21">
        <f>IF(lives&gt;1,$A$21*reward*(1+MAX(0,5-expires)*0.1)*IF(lives&lt;=1, life_penalty_at_one, 1),IF(gold3&lt;potion_cost,$A$21*reward*(1+MAX(0,5-expires)*0.1)*IF(lives&lt;=1, life_penalty_at_one, 1)*$A$21,MAX(0, $A$21*reward*(1+MAX(0,5-expires)*0.1)*IF(lives&lt;=1, life_penalty_at_one, 1)*($A$21+(1-$A$21)*q_survive_on_fail) - (1-$A$21)*potion_cost*gamma)))</f>
        <v>0</v>
      </c>
    </row>
    <row r="22" spans="1:7">
      <c r="A22">
        <v>0.2318181818181818</v>
      </c>
      <c r="B22">
        <f>$A$22*reward*(1+MAX(0,5-expires)*0.1)*IF(lives&lt;=1, life_penalty_at_one, 1)</f>
        <v>0</v>
      </c>
      <c r="C22">
        <f>($A$22^IF(lives&lt;=1,1.8,IF(lives=2,1.5,1.2)))*(MAX(0,reward)^0.85)*(1+MIN(0.5,0.15*MAX(0,5-expires)))*IF($A$22&lt;0.4, MAX(0.5, 1 - IF(lives&lt;=1,1.2,IF(lives=2,0.8,0.5))*(0.4 - $A$22)), 1)</f>
        <v>0</v>
      </c>
      <c r="D22">
        <f>IF(lives&gt;1,$A$22*reward*(1+MAX(0,5-expires)*0.1)*IF(lives&lt;=1, life_penalty_at_one, 1),IF(gold0&lt;potion_cost,$A$22*reward*(1+MAX(0,5-expires)*0.1)*IF(lives&lt;=1, life_penalty_at_one, 1)*$A$22,MAX(0, $A$22*reward*(1+MAX(0,5-expires)*0.1)*IF(lives&lt;=1, life_penalty_at_one, 1)*($A$22+(1-$A$22)*q_survive_on_fail) - (1-$A$22)*potion_cost*gamma)))</f>
        <v>0</v>
      </c>
      <c r="E22">
        <f>IF(lives&gt;1,$A$22*reward*(1+MAX(0,5-expires)*0.1)*IF(lives&lt;=1, life_penalty_at_one, 1),IF(gold1&lt;potion_cost,$A$22*reward*(1+MAX(0,5-expires)*0.1)*IF(lives&lt;=1, life_penalty_at_one, 1)*$A$22,MAX(0, $A$22*reward*(1+MAX(0,5-expires)*0.1)*IF(lives&lt;=1, life_penalty_at_one, 1)*($A$22+(1-$A$22)*q_survive_on_fail) - (1-$A$22)*potion_cost*gamma)))</f>
        <v>0</v>
      </c>
      <c r="F22">
        <f>IF(lives&gt;1,$A$22*reward*(1+MAX(0,5-expires)*0.1)*IF(lives&lt;=1, life_penalty_at_one, 1),IF(gold2&lt;potion_cost,$A$22*reward*(1+MAX(0,5-expires)*0.1)*IF(lives&lt;=1, life_penalty_at_one, 1)*$A$22,MAX(0, $A$22*reward*(1+MAX(0,5-expires)*0.1)*IF(lives&lt;=1, life_penalty_at_one, 1)*($A$22+(1-$A$22)*q_survive_on_fail) - (1-$A$22)*potion_cost*gamma)))</f>
        <v>0</v>
      </c>
      <c r="G22">
        <f>IF(lives&gt;1,$A$22*reward*(1+MAX(0,5-expires)*0.1)*IF(lives&lt;=1, life_penalty_at_one, 1),IF(gold3&lt;potion_cost,$A$22*reward*(1+MAX(0,5-expires)*0.1)*IF(lives&lt;=1, life_penalty_at_one, 1)*$A$22,MAX(0, $A$22*reward*(1+MAX(0,5-expires)*0.1)*IF(lives&lt;=1, life_penalty_at_one, 1)*($A$22+(1-$A$22)*q_survive_on_fail) - (1-$A$22)*potion_cost*gamma)))</f>
        <v>0</v>
      </c>
    </row>
    <row r="23" spans="1:7">
      <c r="A23">
        <v>0.2409090909090909</v>
      </c>
      <c r="B23">
        <f>$A$23*reward*(1+MAX(0,5-expires)*0.1)*IF(lives&lt;=1, life_penalty_at_one, 1)</f>
        <v>0</v>
      </c>
      <c r="C23">
        <f>($A$23^IF(lives&lt;=1,1.8,IF(lives=2,1.5,1.2)))*(MAX(0,reward)^0.85)*(1+MIN(0.5,0.15*MAX(0,5-expires)))*IF($A$23&lt;0.4, MAX(0.5, 1 - IF(lives&lt;=1,1.2,IF(lives=2,0.8,0.5))*(0.4 - $A$23)), 1)</f>
        <v>0</v>
      </c>
      <c r="D23">
        <f>IF(lives&gt;1,$A$23*reward*(1+MAX(0,5-expires)*0.1)*IF(lives&lt;=1, life_penalty_at_one, 1),IF(gold0&lt;potion_cost,$A$23*reward*(1+MAX(0,5-expires)*0.1)*IF(lives&lt;=1, life_penalty_at_one, 1)*$A$23,MAX(0, $A$23*reward*(1+MAX(0,5-expires)*0.1)*IF(lives&lt;=1, life_penalty_at_one, 1)*($A$23+(1-$A$23)*q_survive_on_fail) - (1-$A$23)*potion_cost*gamma)))</f>
        <v>0</v>
      </c>
      <c r="E23">
        <f>IF(lives&gt;1,$A$23*reward*(1+MAX(0,5-expires)*0.1)*IF(lives&lt;=1, life_penalty_at_one, 1),IF(gold1&lt;potion_cost,$A$23*reward*(1+MAX(0,5-expires)*0.1)*IF(lives&lt;=1, life_penalty_at_one, 1)*$A$23,MAX(0, $A$23*reward*(1+MAX(0,5-expires)*0.1)*IF(lives&lt;=1, life_penalty_at_one, 1)*($A$23+(1-$A$23)*q_survive_on_fail) - (1-$A$23)*potion_cost*gamma)))</f>
        <v>0</v>
      </c>
      <c r="F23">
        <f>IF(lives&gt;1,$A$23*reward*(1+MAX(0,5-expires)*0.1)*IF(lives&lt;=1, life_penalty_at_one, 1),IF(gold2&lt;potion_cost,$A$23*reward*(1+MAX(0,5-expires)*0.1)*IF(lives&lt;=1, life_penalty_at_one, 1)*$A$23,MAX(0, $A$23*reward*(1+MAX(0,5-expires)*0.1)*IF(lives&lt;=1, life_penalty_at_one, 1)*($A$23+(1-$A$23)*q_survive_on_fail) - (1-$A$23)*potion_cost*gamma)))</f>
        <v>0</v>
      </c>
      <c r="G23">
        <f>IF(lives&gt;1,$A$23*reward*(1+MAX(0,5-expires)*0.1)*IF(lives&lt;=1, life_penalty_at_one, 1),IF(gold3&lt;potion_cost,$A$23*reward*(1+MAX(0,5-expires)*0.1)*IF(lives&lt;=1, life_penalty_at_one, 1)*$A$23,MAX(0, $A$23*reward*(1+MAX(0,5-expires)*0.1)*IF(lives&lt;=1, life_penalty_at_one, 1)*($A$23+(1-$A$23)*q_survive_on_fail) - (1-$A$23)*potion_cost*gamma)))</f>
        <v>0</v>
      </c>
    </row>
    <row r="24" spans="1:7">
      <c r="A24">
        <v>0.25</v>
      </c>
      <c r="B24">
        <f>$A$24*reward*(1+MAX(0,5-expires)*0.1)*IF(lives&lt;=1, life_penalty_at_one, 1)</f>
        <v>0</v>
      </c>
      <c r="C24">
        <f>($A$24^IF(lives&lt;=1,1.8,IF(lives=2,1.5,1.2)))*(MAX(0,reward)^0.85)*(1+MIN(0.5,0.15*MAX(0,5-expires)))*IF($A$24&lt;0.4, MAX(0.5, 1 - IF(lives&lt;=1,1.2,IF(lives=2,0.8,0.5))*(0.4 - $A$24)), 1)</f>
        <v>0</v>
      </c>
      <c r="D24">
        <f>IF(lives&gt;1,$A$24*reward*(1+MAX(0,5-expires)*0.1)*IF(lives&lt;=1, life_penalty_at_one, 1),IF(gold0&lt;potion_cost,$A$24*reward*(1+MAX(0,5-expires)*0.1)*IF(lives&lt;=1, life_penalty_at_one, 1)*$A$24,MAX(0, $A$24*reward*(1+MAX(0,5-expires)*0.1)*IF(lives&lt;=1, life_penalty_at_one, 1)*($A$24+(1-$A$24)*q_survive_on_fail) - (1-$A$24)*potion_cost*gamma)))</f>
        <v>0</v>
      </c>
      <c r="E24">
        <f>IF(lives&gt;1,$A$24*reward*(1+MAX(0,5-expires)*0.1)*IF(lives&lt;=1, life_penalty_at_one, 1),IF(gold1&lt;potion_cost,$A$24*reward*(1+MAX(0,5-expires)*0.1)*IF(lives&lt;=1, life_penalty_at_one, 1)*$A$24,MAX(0, $A$24*reward*(1+MAX(0,5-expires)*0.1)*IF(lives&lt;=1, life_penalty_at_one, 1)*($A$24+(1-$A$24)*q_survive_on_fail) - (1-$A$24)*potion_cost*gamma)))</f>
        <v>0</v>
      </c>
      <c r="F24">
        <f>IF(lives&gt;1,$A$24*reward*(1+MAX(0,5-expires)*0.1)*IF(lives&lt;=1, life_penalty_at_one, 1),IF(gold2&lt;potion_cost,$A$24*reward*(1+MAX(0,5-expires)*0.1)*IF(lives&lt;=1, life_penalty_at_one, 1)*$A$24,MAX(0, $A$24*reward*(1+MAX(0,5-expires)*0.1)*IF(lives&lt;=1, life_penalty_at_one, 1)*($A$24+(1-$A$24)*q_survive_on_fail) - (1-$A$24)*potion_cost*gamma)))</f>
        <v>0</v>
      </c>
      <c r="G24">
        <f>IF(lives&gt;1,$A$24*reward*(1+MAX(0,5-expires)*0.1)*IF(lives&lt;=1, life_penalty_at_one, 1),IF(gold3&lt;potion_cost,$A$24*reward*(1+MAX(0,5-expires)*0.1)*IF(lives&lt;=1, life_penalty_at_one, 1)*$A$24,MAX(0, $A$24*reward*(1+MAX(0,5-expires)*0.1)*IF(lives&lt;=1, life_penalty_at_one, 1)*($A$24+(1-$A$24)*q_survive_on_fail) - (1-$A$24)*potion_cost*gamma)))</f>
        <v>0</v>
      </c>
    </row>
    <row r="25" spans="1:7">
      <c r="A25">
        <v>0.2590909090909091</v>
      </c>
      <c r="B25">
        <f>$A$25*reward*(1+MAX(0,5-expires)*0.1)*IF(lives&lt;=1, life_penalty_at_one, 1)</f>
        <v>0</v>
      </c>
      <c r="C25">
        <f>($A$25^IF(lives&lt;=1,1.8,IF(lives=2,1.5,1.2)))*(MAX(0,reward)^0.85)*(1+MIN(0.5,0.15*MAX(0,5-expires)))*IF($A$25&lt;0.4, MAX(0.5, 1 - IF(lives&lt;=1,1.2,IF(lives=2,0.8,0.5))*(0.4 - $A$25)), 1)</f>
        <v>0</v>
      </c>
      <c r="D25">
        <f>IF(lives&gt;1,$A$25*reward*(1+MAX(0,5-expires)*0.1)*IF(lives&lt;=1, life_penalty_at_one, 1),IF(gold0&lt;potion_cost,$A$25*reward*(1+MAX(0,5-expires)*0.1)*IF(lives&lt;=1, life_penalty_at_one, 1)*$A$25,MAX(0, $A$25*reward*(1+MAX(0,5-expires)*0.1)*IF(lives&lt;=1, life_penalty_at_one, 1)*($A$25+(1-$A$25)*q_survive_on_fail) - (1-$A$25)*potion_cost*gamma)))</f>
        <v>0</v>
      </c>
      <c r="E25">
        <f>IF(lives&gt;1,$A$25*reward*(1+MAX(0,5-expires)*0.1)*IF(lives&lt;=1, life_penalty_at_one, 1),IF(gold1&lt;potion_cost,$A$25*reward*(1+MAX(0,5-expires)*0.1)*IF(lives&lt;=1, life_penalty_at_one, 1)*$A$25,MAX(0, $A$25*reward*(1+MAX(0,5-expires)*0.1)*IF(lives&lt;=1, life_penalty_at_one, 1)*($A$25+(1-$A$25)*q_survive_on_fail) - (1-$A$25)*potion_cost*gamma)))</f>
        <v>0</v>
      </c>
      <c r="F25">
        <f>IF(lives&gt;1,$A$25*reward*(1+MAX(0,5-expires)*0.1)*IF(lives&lt;=1, life_penalty_at_one, 1),IF(gold2&lt;potion_cost,$A$25*reward*(1+MAX(0,5-expires)*0.1)*IF(lives&lt;=1, life_penalty_at_one, 1)*$A$25,MAX(0, $A$25*reward*(1+MAX(0,5-expires)*0.1)*IF(lives&lt;=1, life_penalty_at_one, 1)*($A$25+(1-$A$25)*q_survive_on_fail) - (1-$A$25)*potion_cost*gamma)))</f>
        <v>0</v>
      </c>
      <c r="G25">
        <f>IF(lives&gt;1,$A$25*reward*(1+MAX(0,5-expires)*0.1)*IF(lives&lt;=1, life_penalty_at_one, 1),IF(gold3&lt;potion_cost,$A$25*reward*(1+MAX(0,5-expires)*0.1)*IF(lives&lt;=1, life_penalty_at_one, 1)*$A$25,MAX(0, $A$25*reward*(1+MAX(0,5-expires)*0.1)*IF(lives&lt;=1, life_penalty_at_one, 1)*($A$25+(1-$A$25)*q_survive_on_fail) - (1-$A$25)*potion_cost*gamma)))</f>
        <v>0</v>
      </c>
    </row>
    <row r="26" spans="1:7">
      <c r="A26">
        <v>0.2681818181818182</v>
      </c>
      <c r="B26">
        <f>$A$26*reward*(1+MAX(0,5-expires)*0.1)*IF(lives&lt;=1, life_penalty_at_one, 1)</f>
        <v>0</v>
      </c>
      <c r="C26">
        <f>($A$26^IF(lives&lt;=1,1.8,IF(lives=2,1.5,1.2)))*(MAX(0,reward)^0.85)*(1+MIN(0.5,0.15*MAX(0,5-expires)))*IF($A$26&lt;0.4, MAX(0.5, 1 - IF(lives&lt;=1,1.2,IF(lives=2,0.8,0.5))*(0.4 - $A$26)), 1)</f>
        <v>0</v>
      </c>
      <c r="D26">
        <f>IF(lives&gt;1,$A$26*reward*(1+MAX(0,5-expires)*0.1)*IF(lives&lt;=1, life_penalty_at_one, 1),IF(gold0&lt;potion_cost,$A$26*reward*(1+MAX(0,5-expires)*0.1)*IF(lives&lt;=1, life_penalty_at_one, 1)*$A$26,MAX(0, $A$26*reward*(1+MAX(0,5-expires)*0.1)*IF(lives&lt;=1, life_penalty_at_one, 1)*($A$26+(1-$A$26)*q_survive_on_fail) - (1-$A$26)*potion_cost*gamma)))</f>
        <v>0</v>
      </c>
      <c r="E26">
        <f>IF(lives&gt;1,$A$26*reward*(1+MAX(0,5-expires)*0.1)*IF(lives&lt;=1, life_penalty_at_one, 1),IF(gold1&lt;potion_cost,$A$26*reward*(1+MAX(0,5-expires)*0.1)*IF(lives&lt;=1, life_penalty_at_one, 1)*$A$26,MAX(0, $A$26*reward*(1+MAX(0,5-expires)*0.1)*IF(lives&lt;=1, life_penalty_at_one, 1)*($A$26+(1-$A$26)*q_survive_on_fail) - (1-$A$26)*potion_cost*gamma)))</f>
        <v>0</v>
      </c>
      <c r="F26">
        <f>IF(lives&gt;1,$A$26*reward*(1+MAX(0,5-expires)*0.1)*IF(lives&lt;=1, life_penalty_at_one, 1),IF(gold2&lt;potion_cost,$A$26*reward*(1+MAX(0,5-expires)*0.1)*IF(lives&lt;=1, life_penalty_at_one, 1)*$A$26,MAX(0, $A$26*reward*(1+MAX(0,5-expires)*0.1)*IF(lives&lt;=1, life_penalty_at_one, 1)*($A$26+(1-$A$26)*q_survive_on_fail) - (1-$A$26)*potion_cost*gamma)))</f>
        <v>0</v>
      </c>
      <c r="G26">
        <f>IF(lives&gt;1,$A$26*reward*(1+MAX(0,5-expires)*0.1)*IF(lives&lt;=1, life_penalty_at_one, 1),IF(gold3&lt;potion_cost,$A$26*reward*(1+MAX(0,5-expires)*0.1)*IF(lives&lt;=1, life_penalty_at_one, 1)*$A$26,MAX(0, $A$26*reward*(1+MAX(0,5-expires)*0.1)*IF(lives&lt;=1, life_penalty_at_one, 1)*($A$26+(1-$A$26)*q_survive_on_fail) - (1-$A$26)*potion_cost*gamma)))</f>
        <v>0</v>
      </c>
    </row>
    <row r="27" spans="1:7">
      <c r="A27">
        <v>0.2772727272727273</v>
      </c>
      <c r="B27">
        <f>$A$27*reward*(1+MAX(0,5-expires)*0.1)*IF(lives&lt;=1, life_penalty_at_one, 1)</f>
        <v>0</v>
      </c>
      <c r="C27">
        <f>($A$27^IF(lives&lt;=1,1.8,IF(lives=2,1.5,1.2)))*(MAX(0,reward)^0.85)*(1+MIN(0.5,0.15*MAX(0,5-expires)))*IF($A$27&lt;0.4, MAX(0.5, 1 - IF(lives&lt;=1,1.2,IF(lives=2,0.8,0.5))*(0.4 - $A$27)), 1)</f>
        <v>0</v>
      </c>
      <c r="D27">
        <f>IF(lives&gt;1,$A$27*reward*(1+MAX(0,5-expires)*0.1)*IF(lives&lt;=1, life_penalty_at_one, 1),IF(gold0&lt;potion_cost,$A$27*reward*(1+MAX(0,5-expires)*0.1)*IF(lives&lt;=1, life_penalty_at_one, 1)*$A$27,MAX(0, $A$27*reward*(1+MAX(0,5-expires)*0.1)*IF(lives&lt;=1, life_penalty_at_one, 1)*($A$27+(1-$A$27)*q_survive_on_fail) - (1-$A$27)*potion_cost*gamma)))</f>
        <v>0</v>
      </c>
      <c r="E27">
        <f>IF(lives&gt;1,$A$27*reward*(1+MAX(0,5-expires)*0.1)*IF(lives&lt;=1, life_penalty_at_one, 1),IF(gold1&lt;potion_cost,$A$27*reward*(1+MAX(0,5-expires)*0.1)*IF(lives&lt;=1, life_penalty_at_one, 1)*$A$27,MAX(0, $A$27*reward*(1+MAX(0,5-expires)*0.1)*IF(lives&lt;=1, life_penalty_at_one, 1)*($A$27+(1-$A$27)*q_survive_on_fail) - (1-$A$27)*potion_cost*gamma)))</f>
        <v>0</v>
      </c>
      <c r="F27">
        <f>IF(lives&gt;1,$A$27*reward*(1+MAX(0,5-expires)*0.1)*IF(lives&lt;=1, life_penalty_at_one, 1),IF(gold2&lt;potion_cost,$A$27*reward*(1+MAX(0,5-expires)*0.1)*IF(lives&lt;=1, life_penalty_at_one, 1)*$A$27,MAX(0, $A$27*reward*(1+MAX(0,5-expires)*0.1)*IF(lives&lt;=1, life_penalty_at_one, 1)*($A$27+(1-$A$27)*q_survive_on_fail) - (1-$A$27)*potion_cost*gamma)))</f>
        <v>0</v>
      </c>
      <c r="G27">
        <f>IF(lives&gt;1,$A$27*reward*(1+MAX(0,5-expires)*0.1)*IF(lives&lt;=1, life_penalty_at_one, 1),IF(gold3&lt;potion_cost,$A$27*reward*(1+MAX(0,5-expires)*0.1)*IF(lives&lt;=1, life_penalty_at_one, 1)*$A$27,MAX(0, $A$27*reward*(1+MAX(0,5-expires)*0.1)*IF(lives&lt;=1, life_penalty_at_one, 1)*($A$27+(1-$A$27)*q_survive_on_fail) - (1-$A$27)*potion_cost*gamma)))</f>
        <v>0</v>
      </c>
    </row>
    <row r="28" spans="1:7">
      <c r="A28">
        <v>0.2863636363636364</v>
      </c>
      <c r="B28">
        <f>$A$28*reward*(1+MAX(0,5-expires)*0.1)*IF(lives&lt;=1, life_penalty_at_one, 1)</f>
        <v>0</v>
      </c>
      <c r="C28">
        <f>($A$28^IF(lives&lt;=1,1.8,IF(lives=2,1.5,1.2)))*(MAX(0,reward)^0.85)*(1+MIN(0.5,0.15*MAX(0,5-expires)))*IF($A$28&lt;0.4, MAX(0.5, 1 - IF(lives&lt;=1,1.2,IF(lives=2,0.8,0.5))*(0.4 - $A$28)), 1)</f>
        <v>0</v>
      </c>
      <c r="D28">
        <f>IF(lives&gt;1,$A$28*reward*(1+MAX(0,5-expires)*0.1)*IF(lives&lt;=1, life_penalty_at_one, 1),IF(gold0&lt;potion_cost,$A$28*reward*(1+MAX(0,5-expires)*0.1)*IF(lives&lt;=1, life_penalty_at_one, 1)*$A$28,MAX(0, $A$28*reward*(1+MAX(0,5-expires)*0.1)*IF(lives&lt;=1, life_penalty_at_one, 1)*($A$28+(1-$A$28)*q_survive_on_fail) - (1-$A$28)*potion_cost*gamma)))</f>
        <v>0</v>
      </c>
      <c r="E28">
        <f>IF(lives&gt;1,$A$28*reward*(1+MAX(0,5-expires)*0.1)*IF(lives&lt;=1, life_penalty_at_one, 1),IF(gold1&lt;potion_cost,$A$28*reward*(1+MAX(0,5-expires)*0.1)*IF(lives&lt;=1, life_penalty_at_one, 1)*$A$28,MAX(0, $A$28*reward*(1+MAX(0,5-expires)*0.1)*IF(lives&lt;=1, life_penalty_at_one, 1)*($A$28+(1-$A$28)*q_survive_on_fail) - (1-$A$28)*potion_cost*gamma)))</f>
        <v>0</v>
      </c>
      <c r="F28">
        <f>IF(lives&gt;1,$A$28*reward*(1+MAX(0,5-expires)*0.1)*IF(lives&lt;=1, life_penalty_at_one, 1),IF(gold2&lt;potion_cost,$A$28*reward*(1+MAX(0,5-expires)*0.1)*IF(lives&lt;=1, life_penalty_at_one, 1)*$A$28,MAX(0, $A$28*reward*(1+MAX(0,5-expires)*0.1)*IF(lives&lt;=1, life_penalty_at_one, 1)*($A$28+(1-$A$28)*q_survive_on_fail) - (1-$A$28)*potion_cost*gamma)))</f>
        <v>0</v>
      </c>
      <c r="G28">
        <f>IF(lives&gt;1,$A$28*reward*(1+MAX(0,5-expires)*0.1)*IF(lives&lt;=1, life_penalty_at_one, 1),IF(gold3&lt;potion_cost,$A$28*reward*(1+MAX(0,5-expires)*0.1)*IF(lives&lt;=1, life_penalty_at_one, 1)*$A$28,MAX(0, $A$28*reward*(1+MAX(0,5-expires)*0.1)*IF(lives&lt;=1, life_penalty_at_one, 1)*($A$28+(1-$A$28)*q_survive_on_fail) - (1-$A$28)*potion_cost*gamma)))</f>
        <v>0</v>
      </c>
    </row>
    <row r="29" spans="1:7">
      <c r="A29">
        <v>0.2954545454545455</v>
      </c>
      <c r="B29">
        <f>$A$29*reward*(1+MAX(0,5-expires)*0.1)*IF(lives&lt;=1, life_penalty_at_one, 1)</f>
        <v>0</v>
      </c>
      <c r="C29">
        <f>($A$29^IF(lives&lt;=1,1.8,IF(lives=2,1.5,1.2)))*(MAX(0,reward)^0.85)*(1+MIN(0.5,0.15*MAX(0,5-expires)))*IF($A$29&lt;0.4, MAX(0.5, 1 - IF(lives&lt;=1,1.2,IF(lives=2,0.8,0.5))*(0.4 - $A$29)), 1)</f>
        <v>0</v>
      </c>
      <c r="D29">
        <f>IF(lives&gt;1,$A$29*reward*(1+MAX(0,5-expires)*0.1)*IF(lives&lt;=1, life_penalty_at_one, 1),IF(gold0&lt;potion_cost,$A$29*reward*(1+MAX(0,5-expires)*0.1)*IF(lives&lt;=1, life_penalty_at_one, 1)*$A$29,MAX(0, $A$29*reward*(1+MAX(0,5-expires)*0.1)*IF(lives&lt;=1, life_penalty_at_one, 1)*($A$29+(1-$A$29)*q_survive_on_fail) - (1-$A$29)*potion_cost*gamma)))</f>
        <v>0</v>
      </c>
      <c r="E29">
        <f>IF(lives&gt;1,$A$29*reward*(1+MAX(0,5-expires)*0.1)*IF(lives&lt;=1, life_penalty_at_one, 1),IF(gold1&lt;potion_cost,$A$29*reward*(1+MAX(0,5-expires)*0.1)*IF(lives&lt;=1, life_penalty_at_one, 1)*$A$29,MAX(0, $A$29*reward*(1+MAX(0,5-expires)*0.1)*IF(lives&lt;=1, life_penalty_at_one, 1)*($A$29+(1-$A$29)*q_survive_on_fail) - (1-$A$29)*potion_cost*gamma)))</f>
        <v>0</v>
      </c>
      <c r="F29">
        <f>IF(lives&gt;1,$A$29*reward*(1+MAX(0,5-expires)*0.1)*IF(lives&lt;=1, life_penalty_at_one, 1),IF(gold2&lt;potion_cost,$A$29*reward*(1+MAX(0,5-expires)*0.1)*IF(lives&lt;=1, life_penalty_at_one, 1)*$A$29,MAX(0, $A$29*reward*(1+MAX(0,5-expires)*0.1)*IF(lives&lt;=1, life_penalty_at_one, 1)*($A$29+(1-$A$29)*q_survive_on_fail) - (1-$A$29)*potion_cost*gamma)))</f>
        <v>0</v>
      </c>
      <c r="G29">
        <f>IF(lives&gt;1,$A$29*reward*(1+MAX(0,5-expires)*0.1)*IF(lives&lt;=1, life_penalty_at_one, 1),IF(gold3&lt;potion_cost,$A$29*reward*(1+MAX(0,5-expires)*0.1)*IF(lives&lt;=1, life_penalty_at_one, 1)*$A$29,MAX(0, $A$29*reward*(1+MAX(0,5-expires)*0.1)*IF(lives&lt;=1, life_penalty_at_one, 1)*($A$29+(1-$A$29)*q_survive_on_fail) - (1-$A$29)*potion_cost*gamma)))</f>
        <v>0</v>
      </c>
    </row>
    <row r="30" spans="1:7">
      <c r="A30">
        <v>0.3045454545454545</v>
      </c>
      <c r="B30">
        <f>$A$30*reward*(1+MAX(0,5-expires)*0.1)*IF(lives&lt;=1, life_penalty_at_one, 1)</f>
        <v>0</v>
      </c>
      <c r="C30">
        <f>($A$30^IF(lives&lt;=1,1.8,IF(lives=2,1.5,1.2)))*(MAX(0,reward)^0.85)*(1+MIN(0.5,0.15*MAX(0,5-expires)))*IF($A$30&lt;0.4, MAX(0.5, 1 - IF(lives&lt;=1,1.2,IF(lives=2,0.8,0.5))*(0.4 - $A$30)), 1)</f>
        <v>0</v>
      </c>
      <c r="D30">
        <f>IF(lives&gt;1,$A$30*reward*(1+MAX(0,5-expires)*0.1)*IF(lives&lt;=1, life_penalty_at_one, 1),IF(gold0&lt;potion_cost,$A$30*reward*(1+MAX(0,5-expires)*0.1)*IF(lives&lt;=1, life_penalty_at_one, 1)*$A$30,MAX(0, $A$30*reward*(1+MAX(0,5-expires)*0.1)*IF(lives&lt;=1, life_penalty_at_one, 1)*($A$30+(1-$A$30)*q_survive_on_fail) - (1-$A$30)*potion_cost*gamma)))</f>
        <v>0</v>
      </c>
      <c r="E30">
        <f>IF(lives&gt;1,$A$30*reward*(1+MAX(0,5-expires)*0.1)*IF(lives&lt;=1, life_penalty_at_one, 1),IF(gold1&lt;potion_cost,$A$30*reward*(1+MAX(0,5-expires)*0.1)*IF(lives&lt;=1, life_penalty_at_one, 1)*$A$30,MAX(0, $A$30*reward*(1+MAX(0,5-expires)*0.1)*IF(lives&lt;=1, life_penalty_at_one, 1)*($A$30+(1-$A$30)*q_survive_on_fail) - (1-$A$30)*potion_cost*gamma)))</f>
        <v>0</v>
      </c>
      <c r="F30">
        <f>IF(lives&gt;1,$A$30*reward*(1+MAX(0,5-expires)*0.1)*IF(lives&lt;=1, life_penalty_at_one, 1),IF(gold2&lt;potion_cost,$A$30*reward*(1+MAX(0,5-expires)*0.1)*IF(lives&lt;=1, life_penalty_at_one, 1)*$A$30,MAX(0, $A$30*reward*(1+MAX(0,5-expires)*0.1)*IF(lives&lt;=1, life_penalty_at_one, 1)*($A$30+(1-$A$30)*q_survive_on_fail) - (1-$A$30)*potion_cost*gamma)))</f>
        <v>0</v>
      </c>
      <c r="G30">
        <f>IF(lives&gt;1,$A$30*reward*(1+MAX(0,5-expires)*0.1)*IF(lives&lt;=1, life_penalty_at_one, 1),IF(gold3&lt;potion_cost,$A$30*reward*(1+MAX(0,5-expires)*0.1)*IF(lives&lt;=1, life_penalty_at_one, 1)*$A$30,MAX(0, $A$30*reward*(1+MAX(0,5-expires)*0.1)*IF(lives&lt;=1, life_penalty_at_one, 1)*($A$30+(1-$A$30)*q_survive_on_fail) - (1-$A$30)*potion_cost*gamma)))</f>
        <v>0</v>
      </c>
    </row>
    <row r="31" spans="1:7">
      <c r="A31">
        <v>0.3136363636363636</v>
      </c>
      <c r="B31">
        <f>$A$31*reward*(1+MAX(0,5-expires)*0.1)*IF(lives&lt;=1, life_penalty_at_one, 1)</f>
        <v>0</v>
      </c>
      <c r="C31">
        <f>($A$31^IF(lives&lt;=1,1.8,IF(lives=2,1.5,1.2)))*(MAX(0,reward)^0.85)*(1+MIN(0.5,0.15*MAX(0,5-expires)))*IF($A$31&lt;0.4, MAX(0.5, 1 - IF(lives&lt;=1,1.2,IF(lives=2,0.8,0.5))*(0.4 - $A$31)), 1)</f>
        <v>0</v>
      </c>
      <c r="D31">
        <f>IF(lives&gt;1,$A$31*reward*(1+MAX(0,5-expires)*0.1)*IF(lives&lt;=1, life_penalty_at_one, 1),IF(gold0&lt;potion_cost,$A$31*reward*(1+MAX(0,5-expires)*0.1)*IF(lives&lt;=1, life_penalty_at_one, 1)*$A$31,MAX(0, $A$31*reward*(1+MAX(0,5-expires)*0.1)*IF(lives&lt;=1, life_penalty_at_one, 1)*($A$31+(1-$A$31)*q_survive_on_fail) - (1-$A$31)*potion_cost*gamma)))</f>
        <v>0</v>
      </c>
      <c r="E31">
        <f>IF(lives&gt;1,$A$31*reward*(1+MAX(0,5-expires)*0.1)*IF(lives&lt;=1, life_penalty_at_one, 1),IF(gold1&lt;potion_cost,$A$31*reward*(1+MAX(0,5-expires)*0.1)*IF(lives&lt;=1, life_penalty_at_one, 1)*$A$31,MAX(0, $A$31*reward*(1+MAX(0,5-expires)*0.1)*IF(lives&lt;=1, life_penalty_at_one, 1)*($A$31+(1-$A$31)*q_survive_on_fail) - (1-$A$31)*potion_cost*gamma)))</f>
        <v>0</v>
      </c>
      <c r="F31">
        <f>IF(lives&gt;1,$A$31*reward*(1+MAX(0,5-expires)*0.1)*IF(lives&lt;=1, life_penalty_at_one, 1),IF(gold2&lt;potion_cost,$A$31*reward*(1+MAX(0,5-expires)*0.1)*IF(lives&lt;=1, life_penalty_at_one, 1)*$A$31,MAX(0, $A$31*reward*(1+MAX(0,5-expires)*0.1)*IF(lives&lt;=1, life_penalty_at_one, 1)*($A$31+(1-$A$31)*q_survive_on_fail) - (1-$A$31)*potion_cost*gamma)))</f>
        <v>0</v>
      </c>
      <c r="G31">
        <f>IF(lives&gt;1,$A$31*reward*(1+MAX(0,5-expires)*0.1)*IF(lives&lt;=1, life_penalty_at_one, 1),IF(gold3&lt;potion_cost,$A$31*reward*(1+MAX(0,5-expires)*0.1)*IF(lives&lt;=1, life_penalty_at_one, 1)*$A$31,MAX(0, $A$31*reward*(1+MAX(0,5-expires)*0.1)*IF(lives&lt;=1, life_penalty_at_one, 1)*($A$31+(1-$A$31)*q_survive_on_fail) - (1-$A$31)*potion_cost*gamma)))</f>
        <v>0</v>
      </c>
    </row>
    <row r="32" spans="1:7">
      <c r="A32">
        <v>0.3227272727272727</v>
      </c>
      <c r="B32">
        <f>$A$32*reward*(1+MAX(0,5-expires)*0.1)*IF(lives&lt;=1, life_penalty_at_one, 1)</f>
        <v>0</v>
      </c>
      <c r="C32">
        <f>($A$32^IF(lives&lt;=1,1.8,IF(lives=2,1.5,1.2)))*(MAX(0,reward)^0.85)*(1+MIN(0.5,0.15*MAX(0,5-expires)))*IF($A$32&lt;0.4, MAX(0.5, 1 - IF(lives&lt;=1,1.2,IF(lives=2,0.8,0.5))*(0.4 - $A$32)), 1)</f>
        <v>0</v>
      </c>
      <c r="D32">
        <f>IF(lives&gt;1,$A$32*reward*(1+MAX(0,5-expires)*0.1)*IF(lives&lt;=1, life_penalty_at_one, 1),IF(gold0&lt;potion_cost,$A$32*reward*(1+MAX(0,5-expires)*0.1)*IF(lives&lt;=1, life_penalty_at_one, 1)*$A$32,MAX(0, $A$32*reward*(1+MAX(0,5-expires)*0.1)*IF(lives&lt;=1, life_penalty_at_one, 1)*($A$32+(1-$A$32)*q_survive_on_fail) - (1-$A$32)*potion_cost*gamma)))</f>
        <v>0</v>
      </c>
      <c r="E32">
        <f>IF(lives&gt;1,$A$32*reward*(1+MAX(0,5-expires)*0.1)*IF(lives&lt;=1, life_penalty_at_one, 1),IF(gold1&lt;potion_cost,$A$32*reward*(1+MAX(0,5-expires)*0.1)*IF(lives&lt;=1, life_penalty_at_one, 1)*$A$32,MAX(0, $A$32*reward*(1+MAX(0,5-expires)*0.1)*IF(lives&lt;=1, life_penalty_at_one, 1)*($A$32+(1-$A$32)*q_survive_on_fail) - (1-$A$32)*potion_cost*gamma)))</f>
        <v>0</v>
      </c>
      <c r="F32">
        <f>IF(lives&gt;1,$A$32*reward*(1+MAX(0,5-expires)*0.1)*IF(lives&lt;=1, life_penalty_at_one, 1),IF(gold2&lt;potion_cost,$A$32*reward*(1+MAX(0,5-expires)*0.1)*IF(lives&lt;=1, life_penalty_at_one, 1)*$A$32,MAX(0, $A$32*reward*(1+MAX(0,5-expires)*0.1)*IF(lives&lt;=1, life_penalty_at_one, 1)*($A$32+(1-$A$32)*q_survive_on_fail) - (1-$A$32)*potion_cost*gamma)))</f>
        <v>0</v>
      </c>
      <c r="G32">
        <f>IF(lives&gt;1,$A$32*reward*(1+MAX(0,5-expires)*0.1)*IF(lives&lt;=1, life_penalty_at_one, 1),IF(gold3&lt;potion_cost,$A$32*reward*(1+MAX(0,5-expires)*0.1)*IF(lives&lt;=1, life_penalty_at_one, 1)*$A$32,MAX(0, $A$32*reward*(1+MAX(0,5-expires)*0.1)*IF(lives&lt;=1, life_penalty_at_one, 1)*($A$32+(1-$A$32)*q_survive_on_fail) - (1-$A$32)*potion_cost*gamma)))</f>
        <v>0</v>
      </c>
    </row>
    <row r="33" spans="1:7">
      <c r="A33">
        <v>0.3318181818181818</v>
      </c>
      <c r="B33">
        <f>$A$33*reward*(1+MAX(0,5-expires)*0.1)*IF(lives&lt;=1, life_penalty_at_one, 1)</f>
        <v>0</v>
      </c>
      <c r="C33">
        <f>($A$33^IF(lives&lt;=1,1.8,IF(lives=2,1.5,1.2)))*(MAX(0,reward)^0.85)*(1+MIN(0.5,0.15*MAX(0,5-expires)))*IF($A$33&lt;0.4, MAX(0.5, 1 - IF(lives&lt;=1,1.2,IF(lives=2,0.8,0.5))*(0.4 - $A$33)), 1)</f>
        <v>0</v>
      </c>
      <c r="D33">
        <f>IF(lives&gt;1,$A$33*reward*(1+MAX(0,5-expires)*0.1)*IF(lives&lt;=1, life_penalty_at_one, 1),IF(gold0&lt;potion_cost,$A$33*reward*(1+MAX(0,5-expires)*0.1)*IF(lives&lt;=1, life_penalty_at_one, 1)*$A$33,MAX(0, $A$33*reward*(1+MAX(0,5-expires)*0.1)*IF(lives&lt;=1, life_penalty_at_one, 1)*($A$33+(1-$A$33)*q_survive_on_fail) - (1-$A$33)*potion_cost*gamma)))</f>
        <v>0</v>
      </c>
      <c r="E33">
        <f>IF(lives&gt;1,$A$33*reward*(1+MAX(0,5-expires)*0.1)*IF(lives&lt;=1, life_penalty_at_one, 1),IF(gold1&lt;potion_cost,$A$33*reward*(1+MAX(0,5-expires)*0.1)*IF(lives&lt;=1, life_penalty_at_one, 1)*$A$33,MAX(0, $A$33*reward*(1+MAX(0,5-expires)*0.1)*IF(lives&lt;=1, life_penalty_at_one, 1)*($A$33+(1-$A$33)*q_survive_on_fail) - (1-$A$33)*potion_cost*gamma)))</f>
        <v>0</v>
      </c>
      <c r="F33">
        <f>IF(lives&gt;1,$A$33*reward*(1+MAX(0,5-expires)*0.1)*IF(lives&lt;=1, life_penalty_at_one, 1),IF(gold2&lt;potion_cost,$A$33*reward*(1+MAX(0,5-expires)*0.1)*IF(lives&lt;=1, life_penalty_at_one, 1)*$A$33,MAX(0, $A$33*reward*(1+MAX(0,5-expires)*0.1)*IF(lives&lt;=1, life_penalty_at_one, 1)*($A$33+(1-$A$33)*q_survive_on_fail) - (1-$A$33)*potion_cost*gamma)))</f>
        <v>0</v>
      </c>
      <c r="G33">
        <f>IF(lives&gt;1,$A$33*reward*(1+MAX(0,5-expires)*0.1)*IF(lives&lt;=1, life_penalty_at_one, 1),IF(gold3&lt;potion_cost,$A$33*reward*(1+MAX(0,5-expires)*0.1)*IF(lives&lt;=1, life_penalty_at_one, 1)*$A$33,MAX(0, $A$33*reward*(1+MAX(0,5-expires)*0.1)*IF(lives&lt;=1, life_penalty_at_one, 1)*($A$33+(1-$A$33)*q_survive_on_fail) - (1-$A$33)*potion_cost*gamma)))</f>
        <v>0</v>
      </c>
    </row>
    <row r="34" spans="1:7">
      <c r="A34">
        <v>0.3409090909090909</v>
      </c>
      <c r="B34">
        <f>$A$34*reward*(1+MAX(0,5-expires)*0.1)*IF(lives&lt;=1, life_penalty_at_one, 1)</f>
        <v>0</v>
      </c>
      <c r="C34">
        <f>($A$34^IF(lives&lt;=1,1.8,IF(lives=2,1.5,1.2)))*(MAX(0,reward)^0.85)*(1+MIN(0.5,0.15*MAX(0,5-expires)))*IF($A$34&lt;0.4, MAX(0.5, 1 - IF(lives&lt;=1,1.2,IF(lives=2,0.8,0.5))*(0.4 - $A$34)), 1)</f>
        <v>0</v>
      </c>
      <c r="D34">
        <f>IF(lives&gt;1,$A$34*reward*(1+MAX(0,5-expires)*0.1)*IF(lives&lt;=1, life_penalty_at_one, 1),IF(gold0&lt;potion_cost,$A$34*reward*(1+MAX(0,5-expires)*0.1)*IF(lives&lt;=1, life_penalty_at_one, 1)*$A$34,MAX(0, $A$34*reward*(1+MAX(0,5-expires)*0.1)*IF(lives&lt;=1, life_penalty_at_one, 1)*($A$34+(1-$A$34)*q_survive_on_fail) - (1-$A$34)*potion_cost*gamma)))</f>
        <v>0</v>
      </c>
      <c r="E34">
        <f>IF(lives&gt;1,$A$34*reward*(1+MAX(0,5-expires)*0.1)*IF(lives&lt;=1, life_penalty_at_one, 1),IF(gold1&lt;potion_cost,$A$34*reward*(1+MAX(0,5-expires)*0.1)*IF(lives&lt;=1, life_penalty_at_one, 1)*$A$34,MAX(0, $A$34*reward*(1+MAX(0,5-expires)*0.1)*IF(lives&lt;=1, life_penalty_at_one, 1)*($A$34+(1-$A$34)*q_survive_on_fail) - (1-$A$34)*potion_cost*gamma)))</f>
        <v>0</v>
      </c>
      <c r="F34">
        <f>IF(lives&gt;1,$A$34*reward*(1+MAX(0,5-expires)*0.1)*IF(lives&lt;=1, life_penalty_at_one, 1),IF(gold2&lt;potion_cost,$A$34*reward*(1+MAX(0,5-expires)*0.1)*IF(lives&lt;=1, life_penalty_at_one, 1)*$A$34,MAX(0, $A$34*reward*(1+MAX(0,5-expires)*0.1)*IF(lives&lt;=1, life_penalty_at_one, 1)*($A$34+(1-$A$34)*q_survive_on_fail) - (1-$A$34)*potion_cost*gamma)))</f>
        <v>0</v>
      </c>
      <c r="G34">
        <f>IF(lives&gt;1,$A$34*reward*(1+MAX(0,5-expires)*0.1)*IF(lives&lt;=1, life_penalty_at_one, 1),IF(gold3&lt;potion_cost,$A$34*reward*(1+MAX(0,5-expires)*0.1)*IF(lives&lt;=1, life_penalty_at_one, 1)*$A$34,MAX(0, $A$34*reward*(1+MAX(0,5-expires)*0.1)*IF(lives&lt;=1, life_penalty_at_one, 1)*($A$34+(1-$A$34)*q_survive_on_fail) - (1-$A$34)*potion_cost*gamma)))</f>
        <v>0</v>
      </c>
    </row>
    <row r="35" spans="1:7">
      <c r="A35">
        <v>0.35</v>
      </c>
      <c r="B35">
        <f>$A$35*reward*(1+MAX(0,5-expires)*0.1)*IF(lives&lt;=1, life_penalty_at_one, 1)</f>
        <v>0</v>
      </c>
      <c r="C35">
        <f>($A$35^IF(lives&lt;=1,1.8,IF(lives=2,1.5,1.2)))*(MAX(0,reward)^0.85)*(1+MIN(0.5,0.15*MAX(0,5-expires)))*IF($A$35&lt;0.4, MAX(0.5, 1 - IF(lives&lt;=1,1.2,IF(lives=2,0.8,0.5))*(0.4 - $A$35)), 1)</f>
        <v>0</v>
      </c>
      <c r="D35">
        <f>IF(lives&gt;1,$A$35*reward*(1+MAX(0,5-expires)*0.1)*IF(lives&lt;=1, life_penalty_at_one, 1),IF(gold0&lt;potion_cost,$A$35*reward*(1+MAX(0,5-expires)*0.1)*IF(lives&lt;=1, life_penalty_at_one, 1)*$A$35,MAX(0, $A$35*reward*(1+MAX(0,5-expires)*0.1)*IF(lives&lt;=1, life_penalty_at_one, 1)*($A$35+(1-$A$35)*q_survive_on_fail) - (1-$A$35)*potion_cost*gamma)))</f>
        <v>0</v>
      </c>
      <c r="E35">
        <f>IF(lives&gt;1,$A$35*reward*(1+MAX(0,5-expires)*0.1)*IF(lives&lt;=1, life_penalty_at_one, 1),IF(gold1&lt;potion_cost,$A$35*reward*(1+MAX(0,5-expires)*0.1)*IF(lives&lt;=1, life_penalty_at_one, 1)*$A$35,MAX(0, $A$35*reward*(1+MAX(0,5-expires)*0.1)*IF(lives&lt;=1, life_penalty_at_one, 1)*($A$35+(1-$A$35)*q_survive_on_fail) - (1-$A$35)*potion_cost*gamma)))</f>
        <v>0</v>
      </c>
      <c r="F35">
        <f>IF(lives&gt;1,$A$35*reward*(1+MAX(0,5-expires)*0.1)*IF(lives&lt;=1, life_penalty_at_one, 1),IF(gold2&lt;potion_cost,$A$35*reward*(1+MAX(0,5-expires)*0.1)*IF(lives&lt;=1, life_penalty_at_one, 1)*$A$35,MAX(0, $A$35*reward*(1+MAX(0,5-expires)*0.1)*IF(lives&lt;=1, life_penalty_at_one, 1)*($A$35+(1-$A$35)*q_survive_on_fail) - (1-$A$35)*potion_cost*gamma)))</f>
        <v>0</v>
      </c>
      <c r="G35">
        <f>IF(lives&gt;1,$A$35*reward*(1+MAX(0,5-expires)*0.1)*IF(lives&lt;=1, life_penalty_at_one, 1),IF(gold3&lt;potion_cost,$A$35*reward*(1+MAX(0,5-expires)*0.1)*IF(lives&lt;=1, life_penalty_at_one, 1)*$A$35,MAX(0, $A$35*reward*(1+MAX(0,5-expires)*0.1)*IF(lives&lt;=1, life_penalty_at_one, 1)*($A$35+(1-$A$35)*q_survive_on_fail) - (1-$A$35)*potion_cost*gamma)))</f>
        <v>0</v>
      </c>
    </row>
    <row r="36" spans="1:7">
      <c r="A36">
        <v>0.3590909090909091</v>
      </c>
      <c r="B36">
        <f>$A$36*reward*(1+MAX(0,5-expires)*0.1)*IF(lives&lt;=1, life_penalty_at_one, 1)</f>
        <v>0</v>
      </c>
      <c r="C36">
        <f>($A$36^IF(lives&lt;=1,1.8,IF(lives=2,1.5,1.2)))*(MAX(0,reward)^0.85)*(1+MIN(0.5,0.15*MAX(0,5-expires)))*IF($A$36&lt;0.4, MAX(0.5, 1 - IF(lives&lt;=1,1.2,IF(lives=2,0.8,0.5))*(0.4 - $A$36)), 1)</f>
        <v>0</v>
      </c>
      <c r="D36">
        <f>IF(lives&gt;1,$A$36*reward*(1+MAX(0,5-expires)*0.1)*IF(lives&lt;=1, life_penalty_at_one, 1),IF(gold0&lt;potion_cost,$A$36*reward*(1+MAX(0,5-expires)*0.1)*IF(lives&lt;=1, life_penalty_at_one, 1)*$A$36,MAX(0, $A$36*reward*(1+MAX(0,5-expires)*0.1)*IF(lives&lt;=1, life_penalty_at_one, 1)*($A$36+(1-$A$36)*q_survive_on_fail) - (1-$A$36)*potion_cost*gamma)))</f>
        <v>0</v>
      </c>
      <c r="E36">
        <f>IF(lives&gt;1,$A$36*reward*(1+MAX(0,5-expires)*0.1)*IF(lives&lt;=1, life_penalty_at_one, 1),IF(gold1&lt;potion_cost,$A$36*reward*(1+MAX(0,5-expires)*0.1)*IF(lives&lt;=1, life_penalty_at_one, 1)*$A$36,MAX(0, $A$36*reward*(1+MAX(0,5-expires)*0.1)*IF(lives&lt;=1, life_penalty_at_one, 1)*($A$36+(1-$A$36)*q_survive_on_fail) - (1-$A$36)*potion_cost*gamma)))</f>
        <v>0</v>
      </c>
      <c r="F36">
        <f>IF(lives&gt;1,$A$36*reward*(1+MAX(0,5-expires)*0.1)*IF(lives&lt;=1, life_penalty_at_one, 1),IF(gold2&lt;potion_cost,$A$36*reward*(1+MAX(0,5-expires)*0.1)*IF(lives&lt;=1, life_penalty_at_one, 1)*$A$36,MAX(0, $A$36*reward*(1+MAX(0,5-expires)*0.1)*IF(lives&lt;=1, life_penalty_at_one, 1)*($A$36+(1-$A$36)*q_survive_on_fail) - (1-$A$36)*potion_cost*gamma)))</f>
        <v>0</v>
      </c>
      <c r="G36">
        <f>IF(lives&gt;1,$A$36*reward*(1+MAX(0,5-expires)*0.1)*IF(lives&lt;=1, life_penalty_at_one, 1),IF(gold3&lt;potion_cost,$A$36*reward*(1+MAX(0,5-expires)*0.1)*IF(lives&lt;=1, life_penalty_at_one, 1)*$A$36,MAX(0, $A$36*reward*(1+MAX(0,5-expires)*0.1)*IF(lives&lt;=1, life_penalty_at_one, 1)*($A$36+(1-$A$36)*q_survive_on_fail) - (1-$A$36)*potion_cost*gamma)))</f>
        <v>0</v>
      </c>
    </row>
    <row r="37" spans="1:7">
      <c r="A37">
        <v>0.3681818181818182</v>
      </c>
      <c r="B37">
        <f>$A$37*reward*(1+MAX(0,5-expires)*0.1)*IF(lives&lt;=1, life_penalty_at_one, 1)</f>
        <v>0</v>
      </c>
      <c r="C37">
        <f>($A$37^IF(lives&lt;=1,1.8,IF(lives=2,1.5,1.2)))*(MAX(0,reward)^0.85)*(1+MIN(0.5,0.15*MAX(0,5-expires)))*IF($A$37&lt;0.4, MAX(0.5, 1 - IF(lives&lt;=1,1.2,IF(lives=2,0.8,0.5))*(0.4 - $A$37)), 1)</f>
        <v>0</v>
      </c>
      <c r="D37">
        <f>IF(lives&gt;1,$A$37*reward*(1+MAX(0,5-expires)*0.1)*IF(lives&lt;=1, life_penalty_at_one, 1),IF(gold0&lt;potion_cost,$A$37*reward*(1+MAX(0,5-expires)*0.1)*IF(lives&lt;=1, life_penalty_at_one, 1)*$A$37,MAX(0, $A$37*reward*(1+MAX(0,5-expires)*0.1)*IF(lives&lt;=1, life_penalty_at_one, 1)*($A$37+(1-$A$37)*q_survive_on_fail) - (1-$A$37)*potion_cost*gamma)))</f>
        <v>0</v>
      </c>
      <c r="E37">
        <f>IF(lives&gt;1,$A$37*reward*(1+MAX(0,5-expires)*0.1)*IF(lives&lt;=1, life_penalty_at_one, 1),IF(gold1&lt;potion_cost,$A$37*reward*(1+MAX(0,5-expires)*0.1)*IF(lives&lt;=1, life_penalty_at_one, 1)*$A$37,MAX(0, $A$37*reward*(1+MAX(0,5-expires)*0.1)*IF(lives&lt;=1, life_penalty_at_one, 1)*($A$37+(1-$A$37)*q_survive_on_fail) - (1-$A$37)*potion_cost*gamma)))</f>
        <v>0</v>
      </c>
      <c r="F37">
        <f>IF(lives&gt;1,$A$37*reward*(1+MAX(0,5-expires)*0.1)*IF(lives&lt;=1, life_penalty_at_one, 1),IF(gold2&lt;potion_cost,$A$37*reward*(1+MAX(0,5-expires)*0.1)*IF(lives&lt;=1, life_penalty_at_one, 1)*$A$37,MAX(0, $A$37*reward*(1+MAX(0,5-expires)*0.1)*IF(lives&lt;=1, life_penalty_at_one, 1)*($A$37+(1-$A$37)*q_survive_on_fail) - (1-$A$37)*potion_cost*gamma)))</f>
        <v>0</v>
      </c>
      <c r="G37">
        <f>IF(lives&gt;1,$A$37*reward*(1+MAX(0,5-expires)*0.1)*IF(lives&lt;=1, life_penalty_at_one, 1),IF(gold3&lt;potion_cost,$A$37*reward*(1+MAX(0,5-expires)*0.1)*IF(lives&lt;=1, life_penalty_at_one, 1)*$A$37,MAX(0, $A$37*reward*(1+MAX(0,5-expires)*0.1)*IF(lives&lt;=1, life_penalty_at_one, 1)*($A$37+(1-$A$37)*q_survive_on_fail) - (1-$A$37)*potion_cost*gamma)))</f>
        <v>0</v>
      </c>
    </row>
    <row r="38" spans="1:7">
      <c r="A38">
        <v>0.3772727272727273</v>
      </c>
      <c r="B38">
        <f>$A$38*reward*(1+MAX(0,5-expires)*0.1)*IF(lives&lt;=1, life_penalty_at_one, 1)</f>
        <v>0</v>
      </c>
      <c r="C38">
        <f>($A$38^IF(lives&lt;=1,1.8,IF(lives=2,1.5,1.2)))*(MAX(0,reward)^0.85)*(1+MIN(0.5,0.15*MAX(0,5-expires)))*IF($A$38&lt;0.4, MAX(0.5, 1 - IF(lives&lt;=1,1.2,IF(lives=2,0.8,0.5))*(0.4 - $A$38)), 1)</f>
        <v>0</v>
      </c>
      <c r="D38">
        <f>IF(lives&gt;1,$A$38*reward*(1+MAX(0,5-expires)*0.1)*IF(lives&lt;=1, life_penalty_at_one, 1),IF(gold0&lt;potion_cost,$A$38*reward*(1+MAX(0,5-expires)*0.1)*IF(lives&lt;=1, life_penalty_at_one, 1)*$A$38,MAX(0, $A$38*reward*(1+MAX(0,5-expires)*0.1)*IF(lives&lt;=1, life_penalty_at_one, 1)*($A$38+(1-$A$38)*q_survive_on_fail) - (1-$A$38)*potion_cost*gamma)))</f>
        <v>0</v>
      </c>
      <c r="E38">
        <f>IF(lives&gt;1,$A$38*reward*(1+MAX(0,5-expires)*0.1)*IF(lives&lt;=1, life_penalty_at_one, 1),IF(gold1&lt;potion_cost,$A$38*reward*(1+MAX(0,5-expires)*0.1)*IF(lives&lt;=1, life_penalty_at_one, 1)*$A$38,MAX(0, $A$38*reward*(1+MAX(0,5-expires)*0.1)*IF(lives&lt;=1, life_penalty_at_one, 1)*($A$38+(1-$A$38)*q_survive_on_fail) - (1-$A$38)*potion_cost*gamma)))</f>
        <v>0</v>
      </c>
      <c r="F38">
        <f>IF(lives&gt;1,$A$38*reward*(1+MAX(0,5-expires)*0.1)*IF(lives&lt;=1, life_penalty_at_one, 1),IF(gold2&lt;potion_cost,$A$38*reward*(1+MAX(0,5-expires)*0.1)*IF(lives&lt;=1, life_penalty_at_one, 1)*$A$38,MAX(0, $A$38*reward*(1+MAX(0,5-expires)*0.1)*IF(lives&lt;=1, life_penalty_at_one, 1)*($A$38+(1-$A$38)*q_survive_on_fail) - (1-$A$38)*potion_cost*gamma)))</f>
        <v>0</v>
      </c>
      <c r="G38">
        <f>IF(lives&gt;1,$A$38*reward*(1+MAX(0,5-expires)*0.1)*IF(lives&lt;=1, life_penalty_at_one, 1),IF(gold3&lt;potion_cost,$A$38*reward*(1+MAX(0,5-expires)*0.1)*IF(lives&lt;=1, life_penalty_at_one, 1)*$A$38,MAX(0, $A$38*reward*(1+MAX(0,5-expires)*0.1)*IF(lives&lt;=1, life_penalty_at_one, 1)*($A$38+(1-$A$38)*q_survive_on_fail) - (1-$A$38)*potion_cost*gamma)))</f>
        <v>0</v>
      </c>
    </row>
    <row r="39" spans="1:7">
      <c r="A39">
        <v>0.3863636363636364</v>
      </c>
      <c r="B39">
        <f>$A$39*reward*(1+MAX(0,5-expires)*0.1)*IF(lives&lt;=1, life_penalty_at_one, 1)</f>
        <v>0</v>
      </c>
      <c r="C39">
        <f>($A$39^IF(lives&lt;=1,1.8,IF(lives=2,1.5,1.2)))*(MAX(0,reward)^0.85)*(1+MIN(0.5,0.15*MAX(0,5-expires)))*IF($A$39&lt;0.4, MAX(0.5, 1 - IF(lives&lt;=1,1.2,IF(lives=2,0.8,0.5))*(0.4 - $A$39)), 1)</f>
        <v>0</v>
      </c>
      <c r="D39">
        <f>IF(lives&gt;1,$A$39*reward*(1+MAX(0,5-expires)*0.1)*IF(lives&lt;=1, life_penalty_at_one, 1),IF(gold0&lt;potion_cost,$A$39*reward*(1+MAX(0,5-expires)*0.1)*IF(lives&lt;=1, life_penalty_at_one, 1)*$A$39,MAX(0, $A$39*reward*(1+MAX(0,5-expires)*0.1)*IF(lives&lt;=1, life_penalty_at_one, 1)*($A$39+(1-$A$39)*q_survive_on_fail) - (1-$A$39)*potion_cost*gamma)))</f>
        <v>0</v>
      </c>
      <c r="E39">
        <f>IF(lives&gt;1,$A$39*reward*(1+MAX(0,5-expires)*0.1)*IF(lives&lt;=1, life_penalty_at_one, 1),IF(gold1&lt;potion_cost,$A$39*reward*(1+MAX(0,5-expires)*0.1)*IF(lives&lt;=1, life_penalty_at_one, 1)*$A$39,MAX(0, $A$39*reward*(1+MAX(0,5-expires)*0.1)*IF(lives&lt;=1, life_penalty_at_one, 1)*($A$39+(1-$A$39)*q_survive_on_fail) - (1-$A$39)*potion_cost*gamma)))</f>
        <v>0</v>
      </c>
      <c r="F39">
        <f>IF(lives&gt;1,$A$39*reward*(1+MAX(0,5-expires)*0.1)*IF(lives&lt;=1, life_penalty_at_one, 1),IF(gold2&lt;potion_cost,$A$39*reward*(1+MAX(0,5-expires)*0.1)*IF(lives&lt;=1, life_penalty_at_one, 1)*$A$39,MAX(0, $A$39*reward*(1+MAX(0,5-expires)*0.1)*IF(lives&lt;=1, life_penalty_at_one, 1)*($A$39+(1-$A$39)*q_survive_on_fail) - (1-$A$39)*potion_cost*gamma)))</f>
        <v>0</v>
      </c>
      <c r="G39">
        <f>IF(lives&gt;1,$A$39*reward*(1+MAX(0,5-expires)*0.1)*IF(lives&lt;=1, life_penalty_at_one, 1),IF(gold3&lt;potion_cost,$A$39*reward*(1+MAX(0,5-expires)*0.1)*IF(lives&lt;=1, life_penalty_at_one, 1)*$A$39,MAX(0, $A$39*reward*(1+MAX(0,5-expires)*0.1)*IF(lives&lt;=1, life_penalty_at_one, 1)*($A$39+(1-$A$39)*q_survive_on_fail) - (1-$A$39)*potion_cost*gamma)))</f>
        <v>0</v>
      </c>
    </row>
    <row r="40" spans="1:7">
      <c r="A40">
        <v>0.3954545454545454</v>
      </c>
      <c r="B40">
        <f>$A$40*reward*(1+MAX(0,5-expires)*0.1)*IF(lives&lt;=1, life_penalty_at_one, 1)</f>
        <v>0</v>
      </c>
      <c r="C40">
        <f>($A$40^IF(lives&lt;=1,1.8,IF(lives=2,1.5,1.2)))*(MAX(0,reward)^0.85)*(1+MIN(0.5,0.15*MAX(0,5-expires)))*IF($A$40&lt;0.4, MAX(0.5, 1 - IF(lives&lt;=1,1.2,IF(lives=2,0.8,0.5))*(0.4 - $A$40)), 1)</f>
        <v>0</v>
      </c>
      <c r="D40">
        <f>IF(lives&gt;1,$A$40*reward*(1+MAX(0,5-expires)*0.1)*IF(lives&lt;=1, life_penalty_at_one, 1),IF(gold0&lt;potion_cost,$A$40*reward*(1+MAX(0,5-expires)*0.1)*IF(lives&lt;=1, life_penalty_at_one, 1)*$A$40,MAX(0, $A$40*reward*(1+MAX(0,5-expires)*0.1)*IF(lives&lt;=1, life_penalty_at_one, 1)*($A$40+(1-$A$40)*q_survive_on_fail) - (1-$A$40)*potion_cost*gamma)))</f>
        <v>0</v>
      </c>
      <c r="E40">
        <f>IF(lives&gt;1,$A$40*reward*(1+MAX(0,5-expires)*0.1)*IF(lives&lt;=1, life_penalty_at_one, 1),IF(gold1&lt;potion_cost,$A$40*reward*(1+MAX(0,5-expires)*0.1)*IF(lives&lt;=1, life_penalty_at_one, 1)*$A$40,MAX(0, $A$40*reward*(1+MAX(0,5-expires)*0.1)*IF(lives&lt;=1, life_penalty_at_one, 1)*($A$40+(1-$A$40)*q_survive_on_fail) - (1-$A$40)*potion_cost*gamma)))</f>
        <v>0</v>
      </c>
      <c r="F40">
        <f>IF(lives&gt;1,$A$40*reward*(1+MAX(0,5-expires)*0.1)*IF(lives&lt;=1, life_penalty_at_one, 1),IF(gold2&lt;potion_cost,$A$40*reward*(1+MAX(0,5-expires)*0.1)*IF(lives&lt;=1, life_penalty_at_one, 1)*$A$40,MAX(0, $A$40*reward*(1+MAX(0,5-expires)*0.1)*IF(lives&lt;=1, life_penalty_at_one, 1)*($A$40+(1-$A$40)*q_survive_on_fail) - (1-$A$40)*potion_cost*gamma)))</f>
        <v>0</v>
      </c>
      <c r="G40">
        <f>IF(lives&gt;1,$A$40*reward*(1+MAX(0,5-expires)*0.1)*IF(lives&lt;=1, life_penalty_at_one, 1),IF(gold3&lt;potion_cost,$A$40*reward*(1+MAX(0,5-expires)*0.1)*IF(lives&lt;=1, life_penalty_at_one, 1)*$A$40,MAX(0, $A$40*reward*(1+MAX(0,5-expires)*0.1)*IF(lives&lt;=1, life_penalty_at_one, 1)*($A$40+(1-$A$40)*q_survive_on_fail) - (1-$A$40)*potion_cost*gamma)))</f>
        <v>0</v>
      </c>
    </row>
    <row r="41" spans="1:7">
      <c r="A41">
        <v>0.4045454545454545</v>
      </c>
      <c r="B41">
        <f>$A$41*reward*(1+MAX(0,5-expires)*0.1)*IF(lives&lt;=1, life_penalty_at_one, 1)</f>
        <v>0</v>
      </c>
      <c r="C41">
        <f>($A$41^IF(lives&lt;=1,1.8,IF(lives=2,1.5,1.2)))*(MAX(0,reward)^0.85)*(1+MIN(0.5,0.15*MAX(0,5-expires)))*IF($A$41&lt;0.4, MAX(0.5, 1 - IF(lives&lt;=1,1.2,IF(lives=2,0.8,0.5))*(0.4 - $A$41)), 1)</f>
        <v>0</v>
      </c>
      <c r="D41">
        <f>IF(lives&gt;1,$A$41*reward*(1+MAX(0,5-expires)*0.1)*IF(lives&lt;=1, life_penalty_at_one, 1),IF(gold0&lt;potion_cost,$A$41*reward*(1+MAX(0,5-expires)*0.1)*IF(lives&lt;=1, life_penalty_at_one, 1)*$A$41,MAX(0, $A$41*reward*(1+MAX(0,5-expires)*0.1)*IF(lives&lt;=1, life_penalty_at_one, 1)*($A$41+(1-$A$41)*q_survive_on_fail) - (1-$A$41)*potion_cost*gamma)))</f>
        <v>0</v>
      </c>
      <c r="E41">
        <f>IF(lives&gt;1,$A$41*reward*(1+MAX(0,5-expires)*0.1)*IF(lives&lt;=1, life_penalty_at_one, 1),IF(gold1&lt;potion_cost,$A$41*reward*(1+MAX(0,5-expires)*0.1)*IF(lives&lt;=1, life_penalty_at_one, 1)*$A$41,MAX(0, $A$41*reward*(1+MAX(0,5-expires)*0.1)*IF(lives&lt;=1, life_penalty_at_one, 1)*($A$41+(1-$A$41)*q_survive_on_fail) - (1-$A$41)*potion_cost*gamma)))</f>
        <v>0</v>
      </c>
      <c r="F41">
        <f>IF(lives&gt;1,$A$41*reward*(1+MAX(0,5-expires)*0.1)*IF(lives&lt;=1, life_penalty_at_one, 1),IF(gold2&lt;potion_cost,$A$41*reward*(1+MAX(0,5-expires)*0.1)*IF(lives&lt;=1, life_penalty_at_one, 1)*$A$41,MAX(0, $A$41*reward*(1+MAX(0,5-expires)*0.1)*IF(lives&lt;=1, life_penalty_at_one, 1)*($A$41+(1-$A$41)*q_survive_on_fail) - (1-$A$41)*potion_cost*gamma)))</f>
        <v>0</v>
      </c>
      <c r="G41">
        <f>IF(lives&gt;1,$A$41*reward*(1+MAX(0,5-expires)*0.1)*IF(lives&lt;=1, life_penalty_at_one, 1),IF(gold3&lt;potion_cost,$A$41*reward*(1+MAX(0,5-expires)*0.1)*IF(lives&lt;=1, life_penalty_at_one, 1)*$A$41,MAX(0, $A$41*reward*(1+MAX(0,5-expires)*0.1)*IF(lives&lt;=1, life_penalty_at_one, 1)*($A$41+(1-$A$41)*q_survive_on_fail) - (1-$A$41)*potion_cost*gamma)))</f>
        <v>0</v>
      </c>
    </row>
    <row r="42" spans="1:7">
      <c r="A42">
        <v>0.4136363636363636</v>
      </c>
      <c r="B42">
        <f>$A$42*reward*(1+MAX(0,5-expires)*0.1)*IF(lives&lt;=1, life_penalty_at_one, 1)</f>
        <v>0</v>
      </c>
      <c r="C42">
        <f>($A$42^IF(lives&lt;=1,1.8,IF(lives=2,1.5,1.2)))*(MAX(0,reward)^0.85)*(1+MIN(0.5,0.15*MAX(0,5-expires)))*IF($A$42&lt;0.4, MAX(0.5, 1 - IF(lives&lt;=1,1.2,IF(lives=2,0.8,0.5))*(0.4 - $A$42)), 1)</f>
        <v>0</v>
      </c>
      <c r="D42">
        <f>IF(lives&gt;1,$A$42*reward*(1+MAX(0,5-expires)*0.1)*IF(lives&lt;=1, life_penalty_at_one, 1),IF(gold0&lt;potion_cost,$A$42*reward*(1+MAX(0,5-expires)*0.1)*IF(lives&lt;=1, life_penalty_at_one, 1)*$A$42,MAX(0, $A$42*reward*(1+MAX(0,5-expires)*0.1)*IF(lives&lt;=1, life_penalty_at_one, 1)*($A$42+(1-$A$42)*q_survive_on_fail) - (1-$A$42)*potion_cost*gamma)))</f>
        <v>0</v>
      </c>
      <c r="E42">
        <f>IF(lives&gt;1,$A$42*reward*(1+MAX(0,5-expires)*0.1)*IF(lives&lt;=1, life_penalty_at_one, 1),IF(gold1&lt;potion_cost,$A$42*reward*(1+MAX(0,5-expires)*0.1)*IF(lives&lt;=1, life_penalty_at_one, 1)*$A$42,MAX(0, $A$42*reward*(1+MAX(0,5-expires)*0.1)*IF(lives&lt;=1, life_penalty_at_one, 1)*($A$42+(1-$A$42)*q_survive_on_fail) - (1-$A$42)*potion_cost*gamma)))</f>
        <v>0</v>
      </c>
      <c r="F42">
        <f>IF(lives&gt;1,$A$42*reward*(1+MAX(0,5-expires)*0.1)*IF(lives&lt;=1, life_penalty_at_one, 1),IF(gold2&lt;potion_cost,$A$42*reward*(1+MAX(0,5-expires)*0.1)*IF(lives&lt;=1, life_penalty_at_one, 1)*$A$42,MAX(0, $A$42*reward*(1+MAX(0,5-expires)*0.1)*IF(lives&lt;=1, life_penalty_at_one, 1)*($A$42+(1-$A$42)*q_survive_on_fail) - (1-$A$42)*potion_cost*gamma)))</f>
        <v>0</v>
      </c>
      <c r="G42">
        <f>IF(lives&gt;1,$A$42*reward*(1+MAX(0,5-expires)*0.1)*IF(lives&lt;=1, life_penalty_at_one, 1),IF(gold3&lt;potion_cost,$A$42*reward*(1+MAX(0,5-expires)*0.1)*IF(lives&lt;=1, life_penalty_at_one, 1)*$A$42,MAX(0, $A$42*reward*(1+MAX(0,5-expires)*0.1)*IF(lives&lt;=1, life_penalty_at_one, 1)*($A$42+(1-$A$42)*q_survive_on_fail) - (1-$A$42)*potion_cost*gamma)))</f>
        <v>0</v>
      </c>
    </row>
    <row r="43" spans="1:7">
      <c r="A43">
        <v>0.4227272727272727</v>
      </c>
      <c r="B43">
        <f>$A$43*reward*(1+MAX(0,5-expires)*0.1)*IF(lives&lt;=1, life_penalty_at_one, 1)</f>
        <v>0</v>
      </c>
      <c r="C43">
        <f>($A$43^IF(lives&lt;=1,1.8,IF(lives=2,1.5,1.2)))*(MAX(0,reward)^0.85)*(1+MIN(0.5,0.15*MAX(0,5-expires)))*IF($A$43&lt;0.4, MAX(0.5, 1 - IF(lives&lt;=1,1.2,IF(lives=2,0.8,0.5))*(0.4 - $A$43)), 1)</f>
        <v>0</v>
      </c>
      <c r="D43">
        <f>IF(lives&gt;1,$A$43*reward*(1+MAX(0,5-expires)*0.1)*IF(lives&lt;=1, life_penalty_at_one, 1),IF(gold0&lt;potion_cost,$A$43*reward*(1+MAX(0,5-expires)*0.1)*IF(lives&lt;=1, life_penalty_at_one, 1)*$A$43,MAX(0, $A$43*reward*(1+MAX(0,5-expires)*0.1)*IF(lives&lt;=1, life_penalty_at_one, 1)*($A$43+(1-$A$43)*q_survive_on_fail) - (1-$A$43)*potion_cost*gamma)))</f>
        <v>0</v>
      </c>
      <c r="E43">
        <f>IF(lives&gt;1,$A$43*reward*(1+MAX(0,5-expires)*0.1)*IF(lives&lt;=1, life_penalty_at_one, 1),IF(gold1&lt;potion_cost,$A$43*reward*(1+MAX(0,5-expires)*0.1)*IF(lives&lt;=1, life_penalty_at_one, 1)*$A$43,MAX(0, $A$43*reward*(1+MAX(0,5-expires)*0.1)*IF(lives&lt;=1, life_penalty_at_one, 1)*($A$43+(1-$A$43)*q_survive_on_fail) - (1-$A$43)*potion_cost*gamma)))</f>
        <v>0</v>
      </c>
      <c r="F43">
        <f>IF(lives&gt;1,$A$43*reward*(1+MAX(0,5-expires)*0.1)*IF(lives&lt;=1, life_penalty_at_one, 1),IF(gold2&lt;potion_cost,$A$43*reward*(1+MAX(0,5-expires)*0.1)*IF(lives&lt;=1, life_penalty_at_one, 1)*$A$43,MAX(0, $A$43*reward*(1+MAX(0,5-expires)*0.1)*IF(lives&lt;=1, life_penalty_at_one, 1)*($A$43+(1-$A$43)*q_survive_on_fail) - (1-$A$43)*potion_cost*gamma)))</f>
        <v>0</v>
      </c>
      <c r="G43">
        <f>IF(lives&gt;1,$A$43*reward*(1+MAX(0,5-expires)*0.1)*IF(lives&lt;=1, life_penalty_at_one, 1),IF(gold3&lt;potion_cost,$A$43*reward*(1+MAX(0,5-expires)*0.1)*IF(lives&lt;=1, life_penalty_at_one, 1)*$A$43,MAX(0, $A$43*reward*(1+MAX(0,5-expires)*0.1)*IF(lives&lt;=1, life_penalty_at_one, 1)*($A$43+(1-$A$43)*q_survive_on_fail) - (1-$A$43)*potion_cost*gamma)))</f>
        <v>0</v>
      </c>
    </row>
    <row r="44" spans="1:7">
      <c r="A44">
        <v>0.4318181818181818</v>
      </c>
      <c r="B44">
        <f>$A$44*reward*(1+MAX(0,5-expires)*0.1)*IF(lives&lt;=1, life_penalty_at_one, 1)</f>
        <v>0</v>
      </c>
      <c r="C44">
        <f>($A$44^IF(lives&lt;=1,1.8,IF(lives=2,1.5,1.2)))*(MAX(0,reward)^0.85)*(1+MIN(0.5,0.15*MAX(0,5-expires)))*IF($A$44&lt;0.4, MAX(0.5, 1 - IF(lives&lt;=1,1.2,IF(lives=2,0.8,0.5))*(0.4 - $A$44)), 1)</f>
        <v>0</v>
      </c>
      <c r="D44">
        <f>IF(lives&gt;1,$A$44*reward*(1+MAX(0,5-expires)*0.1)*IF(lives&lt;=1, life_penalty_at_one, 1),IF(gold0&lt;potion_cost,$A$44*reward*(1+MAX(0,5-expires)*0.1)*IF(lives&lt;=1, life_penalty_at_one, 1)*$A$44,MAX(0, $A$44*reward*(1+MAX(0,5-expires)*0.1)*IF(lives&lt;=1, life_penalty_at_one, 1)*($A$44+(1-$A$44)*q_survive_on_fail) - (1-$A$44)*potion_cost*gamma)))</f>
        <v>0</v>
      </c>
      <c r="E44">
        <f>IF(lives&gt;1,$A$44*reward*(1+MAX(0,5-expires)*0.1)*IF(lives&lt;=1, life_penalty_at_one, 1),IF(gold1&lt;potion_cost,$A$44*reward*(1+MAX(0,5-expires)*0.1)*IF(lives&lt;=1, life_penalty_at_one, 1)*$A$44,MAX(0, $A$44*reward*(1+MAX(0,5-expires)*0.1)*IF(lives&lt;=1, life_penalty_at_one, 1)*($A$44+(1-$A$44)*q_survive_on_fail) - (1-$A$44)*potion_cost*gamma)))</f>
        <v>0</v>
      </c>
      <c r="F44">
        <f>IF(lives&gt;1,$A$44*reward*(1+MAX(0,5-expires)*0.1)*IF(lives&lt;=1, life_penalty_at_one, 1),IF(gold2&lt;potion_cost,$A$44*reward*(1+MAX(0,5-expires)*0.1)*IF(lives&lt;=1, life_penalty_at_one, 1)*$A$44,MAX(0, $A$44*reward*(1+MAX(0,5-expires)*0.1)*IF(lives&lt;=1, life_penalty_at_one, 1)*($A$44+(1-$A$44)*q_survive_on_fail) - (1-$A$44)*potion_cost*gamma)))</f>
        <v>0</v>
      </c>
      <c r="G44">
        <f>IF(lives&gt;1,$A$44*reward*(1+MAX(0,5-expires)*0.1)*IF(lives&lt;=1, life_penalty_at_one, 1),IF(gold3&lt;potion_cost,$A$44*reward*(1+MAX(0,5-expires)*0.1)*IF(lives&lt;=1, life_penalty_at_one, 1)*$A$44,MAX(0, $A$44*reward*(1+MAX(0,5-expires)*0.1)*IF(lives&lt;=1, life_penalty_at_one, 1)*($A$44+(1-$A$44)*q_survive_on_fail) - (1-$A$44)*potion_cost*gamma)))</f>
        <v>0</v>
      </c>
    </row>
    <row r="45" spans="1:7">
      <c r="A45">
        <v>0.4409090909090909</v>
      </c>
      <c r="B45">
        <f>$A$45*reward*(1+MAX(0,5-expires)*0.1)*IF(lives&lt;=1, life_penalty_at_one, 1)</f>
        <v>0</v>
      </c>
      <c r="C45">
        <f>($A$45^IF(lives&lt;=1,1.8,IF(lives=2,1.5,1.2)))*(MAX(0,reward)^0.85)*(1+MIN(0.5,0.15*MAX(0,5-expires)))*IF($A$45&lt;0.4, MAX(0.5, 1 - IF(lives&lt;=1,1.2,IF(lives=2,0.8,0.5))*(0.4 - $A$45)), 1)</f>
        <v>0</v>
      </c>
      <c r="D45">
        <f>IF(lives&gt;1,$A$45*reward*(1+MAX(0,5-expires)*0.1)*IF(lives&lt;=1, life_penalty_at_one, 1),IF(gold0&lt;potion_cost,$A$45*reward*(1+MAX(0,5-expires)*0.1)*IF(lives&lt;=1, life_penalty_at_one, 1)*$A$45,MAX(0, $A$45*reward*(1+MAX(0,5-expires)*0.1)*IF(lives&lt;=1, life_penalty_at_one, 1)*($A$45+(1-$A$45)*q_survive_on_fail) - (1-$A$45)*potion_cost*gamma)))</f>
        <v>0</v>
      </c>
      <c r="E45">
        <f>IF(lives&gt;1,$A$45*reward*(1+MAX(0,5-expires)*0.1)*IF(lives&lt;=1, life_penalty_at_one, 1),IF(gold1&lt;potion_cost,$A$45*reward*(1+MAX(0,5-expires)*0.1)*IF(lives&lt;=1, life_penalty_at_one, 1)*$A$45,MAX(0, $A$45*reward*(1+MAX(0,5-expires)*0.1)*IF(lives&lt;=1, life_penalty_at_one, 1)*($A$45+(1-$A$45)*q_survive_on_fail) - (1-$A$45)*potion_cost*gamma)))</f>
        <v>0</v>
      </c>
      <c r="F45">
        <f>IF(lives&gt;1,$A$45*reward*(1+MAX(0,5-expires)*0.1)*IF(lives&lt;=1, life_penalty_at_one, 1),IF(gold2&lt;potion_cost,$A$45*reward*(1+MAX(0,5-expires)*0.1)*IF(lives&lt;=1, life_penalty_at_one, 1)*$A$45,MAX(0, $A$45*reward*(1+MAX(0,5-expires)*0.1)*IF(lives&lt;=1, life_penalty_at_one, 1)*($A$45+(1-$A$45)*q_survive_on_fail) - (1-$A$45)*potion_cost*gamma)))</f>
        <v>0</v>
      </c>
      <c r="G45">
        <f>IF(lives&gt;1,$A$45*reward*(1+MAX(0,5-expires)*0.1)*IF(lives&lt;=1, life_penalty_at_one, 1),IF(gold3&lt;potion_cost,$A$45*reward*(1+MAX(0,5-expires)*0.1)*IF(lives&lt;=1, life_penalty_at_one, 1)*$A$45,MAX(0, $A$45*reward*(1+MAX(0,5-expires)*0.1)*IF(lives&lt;=1, life_penalty_at_one, 1)*($A$45+(1-$A$45)*q_survive_on_fail) - (1-$A$45)*potion_cost*gamma)))</f>
        <v>0</v>
      </c>
    </row>
    <row r="46" spans="1:7">
      <c r="A46">
        <v>0.45</v>
      </c>
      <c r="B46">
        <f>$A$46*reward*(1+MAX(0,5-expires)*0.1)*IF(lives&lt;=1, life_penalty_at_one, 1)</f>
        <v>0</v>
      </c>
      <c r="C46">
        <f>($A$46^IF(lives&lt;=1,1.8,IF(lives=2,1.5,1.2)))*(MAX(0,reward)^0.85)*(1+MIN(0.5,0.15*MAX(0,5-expires)))*IF($A$46&lt;0.4, MAX(0.5, 1 - IF(lives&lt;=1,1.2,IF(lives=2,0.8,0.5))*(0.4 - $A$46)), 1)</f>
        <v>0</v>
      </c>
      <c r="D46">
        <f>IF(lives&gt;1,$A$46*reward*(1+MAX(0,5-expires)*0.1)*IF(lives&lt;=1, life_penalty_at_one, 1),IF(gold0&lt;potion_cost,$A$46*reward*(1+MAX(0,5-expires)*0.1)*IF(lives&lt;=1, life_penalty_at_one, 1)*$A$46,MAX(0, $A$46*reward*(1+MAX(0,5-expires)*0.1)*IF(lives&lt;=1, life_penalty_at_one, 1)*($A$46+(1-$A$46)*q_survive_on_fail) - (1-$A$46)*potion_cost*gamma)))</f>
        <v>0</v>
      </c>
      <c r="E46">
        <f>IF(lives&gt;1,$A$46*reward*(1+MAX(0,5-expires)*0.1)*IF(lives&lt;=1, life_penalty_at_one, 1),IF(gold1&lt;potion_cost,$A$46*reward*(1+MAX(0,5-expires)*0.1)*IF(lives&lt;=1, life_penalty_at_one, 1)*$A$46,MAX(0, $A$46*reward*(1+MAX(0,5-expires)*0.1)*IF(lives&lt;=1, life_penalty_at_one, 1)*($A$46+(1-$A$46)*q_survive_on_fail) - (1-$A$46)*potion_cost*gamma)))</f>
        <v>0</v>
      </c>
      <c r="F46">
        <f>IF(lives&gt;1,$A$46*reward*(1+MAX(0,5-expires)*0.1)*IF(lives&lt;=1, life_penalty_at_one, 1),IF(gold2&lt;potion_cost,$A$46*reward*(1+MAX(0,5-expires)*0.1)*IF(lives&lt;=1, life_penalty_at_one, 1)*$A$46,MAX(0, $A$46*reward*(1+MAX(0,5-expires)*0.1)*IF(lives&lt;=1, life_penalty_at_one, 1)*($A$46+(1-$A$46)*q_survive_on_fail) - (1-$A$46)*potion_cost*gamma)))</f>
        <v>0</v>
      </c>
      <c r="G46">
        <f>IF(lives&gt;1,$A$46*reward*(1+MAX(0,5-expires)*0.1)*IF(lives&lt;=1, life_penalty_at_one, 1),IF(gold3&lt;potion_cost,$A$46*reward*(1+MAX(0,5-expires)*0.1)*IF(lives&lt;=1, life_penalty_at_one, 1)*$A$46,MAX(0, $A$46*reward*(1+MAX(0,5-expires)*0.1)*IF(lives&lt;=1, life_penalty_at_one, 1)*($A$46+(1-$A$46)*q_survive_on_fail) - (1-$A$46)*potion_cost*gamma)))</f>
        <v>0</v>
      </c>
    </row>
    <row r="47" spans="1:7">
      <c r="A47">
        <v>0.459090909090909</v>
      </c>
      <c r="B47">
        <f>$A$47*reward*(1+MAX(0,5-expires)*0.1)*IF(lives&lt;=1, life_penalty_at_one, 1)</f>
        <v>0</v>
      </c>
      <c r="C47">
        <f>($A$47^IF(lives&lt;=1,1.8,IF(lives=2,1.5,1.2)))*(MAX(0,reward)^0.85)*(1+MIN(0.5,0.15*MAX(0,5-expires)))*IF($A$47&lt;0.4, MAX(0.5, 1 - IF(lives&lt;=1,1.2,IF(lives=2,0.8,0.5))*(0.4 - $A$47)), 1)</f>
        <v>0</v>
      </c>
      <c r="D47">
        <f>IF(lives&gt;1,$A$47*reward*(1+MAX(0,5-expires)*0.1)*IF(lives&lt;=1, life_penalty_at_one, 1),IF(gold0&lt;potion_cost,$A$47*reward*(1+MAX(0,5-expires)*0.1)*IF(lives&lt;=1, life_penalty_at_one, 1)*$A$47,MAX(0, $A$47*reward*(1+MAX(0,5-expires)*0.1)*IF(lives&lt;=1, life_penalty_at_one, 1)*($A$47+(1-$A$47)*q_survive_on_fail) - (1-$A$47)*potion_cost*gamma)))</f>
        <v>0</v>
      </c>
      <c r="E47">
        <f>IF(lives&gt;1,$A$47*reward*(1+MAX(0,5-expires)*0.1)*IF(lives&lt;=1, life_penalty_at_one, 1),IF(gold1&lt;potion_cost,$A$47*reward*(1+MAX(0,5-expires)*0.1)*IF(lives&lt;=1, life_penalty_at_one, 1)*$A$47,MAX(0, $A$47*reward*(1+MAX(0,5-expires)*0.1)*IF(lives&lt;=1, life_penalty_at_one, 1)*($A$47+(1-$A$47)*q_survive_on_fail) - (1-$A$47)*potion_cost*gamma)))</f>
        <v>0</v>
      </c>
      <c r="F47">
        <f>IF(lives&gt;1,$A$47*reward*(1+MAX(0,5-expires)*0.1)*IF(lives&lt;=1, life_penalty_at_one, 1),IF(gold2&lt;potion_cost,$A$47*reward*(1+MAX(0,5-expires)*0.1)*IF(lives&lt;=1, life_penalty_at_one, 1)*$A$47,MAX(0, $A$47*reward*(1+MAX(0,5-expires)*0.1)*IF(lives&lt;=1, life_penalty_at_one, 1)*($A$47+(1-$A$47)*q_survive_on_fail) - (1-$A$47)*potion_cost*gamma)))</f>
        <v>0</v>
      </c>
      <c r="G47">
        <f>IF(lives&gt;1,$A$47*reward*(1+MAX(0,5-expires)*0.1)*IF(lives&lt;=1, life_penalty_at_one, 1),IF(gold3&lt;potion_cost,$A$47*reward*(1+MAX(0,5-expires)*0.1)*IF(lives&lt;=1, life_penalty_at_one, 1)*$A$47,MAX(0, $A$47*reward*(1+MAX(0,5-expires)*0.1)*IF(lives&lt;=1, life_penalty_at_one, 1)*($A$47+(1-$A$47)*q_survive_on_fail) - (1-$A$47)*potion_cost*gamma)))</f>
        <v>0</v>
      </c>
    </row>
    <row r="48" spans="1:7">
      <c r="A48">
        <v>0.4681818181818181</v>
      </c>
      <c r="B48">
        <f>$A$48*reward*(1+MAX(0,5-expires)*0.1)*IF(lives&lt;=1, life_penalty_at_one, 1)</f>
        <v>0</v>
      </c>
      <c r="C48">
        <f>($A$48^IF(lives&lt;=1,1.8,IF(lives=2,1.5,1.2)))*(MAX(0,reward)^0.85)*(1+MIN(0.5,0.15*MAX(0,5-expires)))*IF($A$48&lt;0.4, MAX(0.5, 1 - IF(lives&lt;=1,1.2,IF(lives=2,0.8,0.5))*(0.4 - $A$48)), 1)</f>
        <v>0</v>
      </c>
      <c r="D48">
        <f>IF(lives&gt;1,$A$48*reward*(1+MAX(0,5-expires)*0.1)*IF(lives&lt;=1, life_penalty_at_one, 1),IF(gold0&lt;potion_cost,$A$48*reward*(1+MAX(0,5-expires)*0.1)*IF(lives&lt;=1, life_penalty_at_one, 1)*$A$48,MAX(0, $A$48*reward*(1+MAX(0,5-expires)*0.1)*IF(lives&lt;=1, life_penalty_at_one, 1)*($A$48+(1-$A$48)*q_survive_on_fail) - (1-$A$48)*potion_cost*gamma)))</f>
        <v>0</v>
      </c>
      <c r="E48">
        <f>IF(lives&gt;1,$A$48*reward*(1+MAX(0,5-expires)*0.1)*IF(lives&lt;=1, life_penalty_at_one, 1),IF(gold1&lt;potion_cost,$A$48*reward*(1+MAX(0,5-expires)*0.1)*IF(lives&lt;=1, life_penalty_at_one, 1)*$A$48,MAX(0, $A$48*reward*(1+MAX(0,5-expires)*0.1)*IF(lives&lt;=1, life_penalty_at_one, 1)*($A$48+(1-$A$48)*q_survive_on_fail) - (1-$A$48)*potion_cost*gamma)))</f>
        <v>0</v>
      </c>
      <c r="F48">
        <f>IF(lives&gt;1,$A$48*reward*(1+MAX(0,5-expires)*0.1)*IF(lives&lt;=1, life_penalty_at_one, 1),IF(gold2&lt;potion_cost,$A$48*reward*(1+MAX(0,5-expires)*0.1)*IF(lives&lt;=1, life_penalty_at_one, 1)*$A$48,MAX(0, $A$48*reward*(1+MAX(0,5-expires)*0.1)*IF(lives&lt;=1, life_penalty_at_one, 1)*($A$48+(1-$A$48)*q_survive_on_fail) - (1-$A$48)*potion_cost*gamma)))</f>
        <v>0</v>
      </c>
      <c r="G48">
        <f>IF(lives&gt;1,$A$48*reward*(1+MAX(0,5-expires)*0.1)*IF(lives&lt;=1, life_penalty_at_one, 1),IF(gold3&lt;potion_cost,$A$48*reward*(1+MAX(0,5-expires)*0.1)*IF(lives&lt;=1, life_penalty_at_one, 1)*$A$48,MAX(0, $A$48*reward*(1+MAX(0,5-expires)*0.1)*IF(lives&lt;=1, life_penalty_at_one, 1)*($A$48+(1-$A$48)*q_survive_on_fail) - (1-$A$48)*potion_cost*gamma)))</f>
        <v>0</v>
      </c>
    </row>
    <row r="49" spans="1:7">
      <c r="A49">
        <v>0.4772727272727272</v>
      </c>
      <c r="B49">
        <f>$A$49*reward*(1+MAX(0,5-expires)*0.1)*IF(lives&lt;=1, life_penalty_at_one, 1)</f>
        <v>0</v>
      </c>
      <c r="C49">
        <f>($A$49^IF(lives&lt;=1,1.8,IF(lives=2,1.5,1.2)))*(MAX(0,reward)^0.85)*(1+MIN(0.5,0.15*MAX(0,5-expires)))*IF($A$49&lt;0.4, MAX(0.5, 1 - IF(lives&lt;=1,1.2,IF(lives=2,0.8,0.5))*(0.4 - $A$49)), 1)</f>
        <v>0</v>
      </c>
      <c r="D49">
        <f>IF(lives&gt;1,$A$49*reward*(1+MAX(0,5-expires)*0.1)*IF(lives&lt;=1, life_penalty_at_one, 1),IF(gold0&lt;potion_cost,$A$49*reward*(1+MAX(0,5-expires)*0.1)*IF(lives&lt;=1, life_penalty_at_one, 1)*$A$49,MAX(0, $A$49*reward*(1+MAX(0,5-expires)*0.1)*IF(lives&lt;=1, life_penalty_at_one, 1)*($A$49+(1-$A$49)*q_survive_on_fail) - (1-$A$49)*potion_cost*gamma)))</f>
        <v>0</v>
      </c>
      <c r="E49">
        <f>IF(lives&gt;1,$A$49*reward*(1+MAX(0,5-expires)*0.1)*IF(lives&lt;=1, life_penalty_at_one, 1),IF(gold1&lt;potion_cost,$A$49*reward*(1+MAX(0,5-expires)*0.1)*IF(lives&lt;=1, life_penalty_at_one, 1)*$A$49,MAX(0, $A$49*reward*(1+MAX(0,5-expires)*0.1)*IF(lives&lt;=1, life_penalty_at_one, 1)*($A$49+(1-$A$49)*q_survive_on_fail) - (1-$A$49)*potion_cost*gamma)))</f>
        <v>0</v>
      </c>
      <c r="F49">
        <f>IF(lives&gt;1,$A$49*reward*(1+MAX(0,5-expires)*0.1)*IF(lives&lt;=1, life_penalty_at_one, 1),IF(gold2&lt;potion_cost,$A$49*reward*(1+MAX(0,5-expires)*0.1)*IF(lives&lt;=1, life_penalty_at_one, 1)*$A$49,MAX(0, $A$49*reward*(1+MAX(0,5-expires)*0.1)*IF(lives&lt;=1, life_penalty_at_one, 1)*($A$49+(1-$A$49)*q_survive_on_fail) - (1-$A$49)*potion_cost*gamma)))</f>
        <v>0</v>
      </c>
      <c r="G49">
        <f>IF(lives&gt;1,$A$49*reward*(1+MAX(0,5-expires)*0.1)*IF(lives&lt;=1, life_penalty_at_one, 1),IF(gold3&lt;potion_cost,$A$49*reward*(1+MAX(0,5-expires)*0.1)*IF(lives&lt;=1, life_penalty_at_one, 1)*$A$49,MAX(0, $A$49*reward*(1+MAX(0,5-expires)*0.1)*IF(lives&lt;=1, life_penalty_at_one, 1)*($A$49+(1-$A$49)*q_survive_on_fail) - (1-$A$49)*potion_cost*gamma)))</f>
        <v>0</v>
      </c>
    </row>
    <row r="50" spans="1:7">
      <c r="A50">
        <v>0.4863636363636363</v>
      </c>
      <c r="B50">
        <f>$A$50*reward*(1+MAX(0,5-expires)*0.1)*IF(lives&lt;=1, life_penalty_at_one, 1)</f>
        <v>0</v>
      </c>
      <c r="C50">
        <f>($A$50^IF(lives&lt;=1,1.8,IF(lives=2,1.5,1.2)))*(MAX(0,reward)^0.85)*(1+MIN(0.5,0.15*MAX(0,5-expires)))*IF($A$50&lt;0.4, MAX(0.5, 1 - IF(lives&lt;=1,1.2,IF(lives=2,0.8,0.5))*(0.4 - $A$50)), 1)</f>
        <v>0</v>
      </c>
      <c r="D50">
        <f>IF(lives&gt;1,$A$50*reward*(1+MAX(0,5-expires)*0.1)*IF(lives&lt;=1, life_penalty_at_one, 1),IF(gold0&lt;potion_cost,$A$50*reward*(1+MAX(0,5-expires)*0.1)*IF(lives&lt;=1, life_penalty_at_one, 1)*$A$50,MAX(0, $A$50*reward*(1+MAX(0,5-expires)*0.1)*IF(lives&lt;=1, life_penalty_at_one, 1)*($A$50+(1-$A$50)*q_survive_on_fail) - (1-$A$50)*potion_cost*gamma)))</f>
        <v>0</v>
      </c>
      <c r="E50">
        <f>IF(lives&gt;1,$A$50*reward*(1+MAX(0,5-expires)*0.1)*IF(lives&lt;=1, life_penalty_at_one, 1),IF(gold1&lt;potion_cost,$A$50*reward*(1+MAX(0,5-expires)*0.1)*IF(lives&lt;=1, life_penalty_at_one, 1)*$A$50,MAX(0, $A$50*reward*(1+MAX(0,5-expires)*0.1)*IF(lives&lt;=1, life_penalty_at_one, 1)*($A$50+(1-$A$50)*q_survive_on_fail) - (1-$A$50)*potion_cost*gamma)))</f>
        <v>0</v>
      </c>
      <c r="F50">
        <f>IF(lives&gt;1,$A$50*reward*(1+MAX(0,5-expires)*0.1)*IF(lives&lt;=1, life_penalty_at_one, 1),IF(gold2&lt;potion_cost,$A$50*reward*(1+MAX(0,5-expires)*0.1)*IF(lives&lt;=1, life_penalty_at_one, 1)*$A$50,MAX(0, $A$50*reward*(1+MAX(0,5-expires)*0.1)*IF(lives&lt;=1, life_penalty_at_one, 1)*($A$50+(1-$A$50)*q_survive_on_fail) - (1-$A$50)*potion_cost*gamma)))</f>
        <v>0</v>
      </c>
      <c r="G50">
        <f>IF(lives&gt;1,$A$50*reward*(1+MAX(0,5-expires)*0.1)*IF(lives&lt;=1, life_penalty_at_one, 1),IF(gold3&lt;potion_cost,$A$50*reward*(1+MAX(0,5-expires)*0.1)*IF(lives&lt;=1, life_penalty_at_one, 1)*$A$50,MAX(0, $A$50*reward*(1+MAX(0,5-expires)*0.1)*IF(lives&lt;=1, life_penalty_at_one, 1)*($A$50+(1-$A$50)*q_survive_on_fail) - (1-$A$50)*potion_cost*gamma)))</f>
        <v>0</v>
      </c>
    </row>
    <row r="51" spans="1:7">
      <c r="A51">
        <v>0.4954545454545454</v>
      </c>
      <c r="B51">
        <f>$A$51*reward*(1+MAX(0,5-expires)*0.1)*IF(lives&lt;=1, life_penalty_at_one, 1)</f>
        <v>0</v>
      </c>
      <c r="C51">
        <f>($A$51^IF(lives&lt;=1,1.8,IF(lives=2,1.5,1.2)))*(MAX(0,reward)^0.85)*(1+MIN(0.5,0.15*MAX(0,5-expires)))*IF($A$51&lt;0.4, MAX(0.5, 1 - IF(lives&lt;=1,1.2,IF(lives=2,0.8,0.5))*(0.4 - $A$51)), 1)</f>
        <v>0</v>
      </c>
      <c r="D51">
        <f>IF(lives&gt;1,$A$51*reward*(1+MAX(0,5-expires)*0.1)*IF(lives&lt;=1, life_penalty_at_one, 1),IF(gold0&lt;potion_cost,$A$51*reward*(1+MAX(0,5-expires)*0.1)*IF(lives&lt;=1, life_penalty_at_one, 1)*$A$51,MAX(0, $A$51*reward*(1+MAX(0,5-expires)*0.1)*IF(lives&lt;=1, life_penalty_at_one, 1)*($A$51+(1-$A$51)*q_survive_on_fail) - (1-$A$51)*potion_cost*gamma)))</f>
        <v>0</v>
      </c>
      <c r="E51">
        <f>IF(lives&gt;1,$A$51*reward*(1+MAX(0,5-expires)*0.1)*IF(lives&lt;=1, life_penalty_at_one, 1),IF(gold1&lt;potion_cost,$A$51*reward*(1+MAX(0,5-expires)*0.1)*IF(lives&lt;=1, life_penalty_at_one, 1)*$A$51,MAX(0, $A$51*reward*(1+MAX(0,5-expires)*0.1)*IF(lives&lt;=1, life_penalty_at_one, 1)*($A$51+(1-$A$51)*q_survive_on_fail) - (1-$A$51)*potion_cost*gamma)))</f>
        <v>0</v>
      </c>
      <c r="F51">
        <f>IF(lives&gt;1,$A$51*reward*(1+MAX(0,5-expires)*0.1)*IF(lives&lt;=1, life_penalty_at_one, 1),IF(gold2&lt;potion_cost,$A$51*reward*(1+MAX(0,5-expires)*0.1)*IF(lives&lt;=1, life_penalty_at_one, 1)*$A$51,MAX(0, $A$51*reward*(1+MAX(0,5-expires)*0.1)*IF(lives&lt;=1, life_penalty_at_one, 1)*($A$51+(1-$A$51)*q_survive_on_fail) - (1-$A$51)*potion_cost*gamma)))</f>
        <v>0</v>
      </c>
      <c r="G51">
        <f>IF(lives&gt;1,$A$51*reward*(1+MAX(0,5-expires)*0.1)*IF(lives&lt;=1, life_penalty_at_one, 1),IF(gold3&lt;potion_cost,$A$51*reward*(1+MAX(0,5-expires)*0.1)*IF(lives&lt;=1, life_penalty_at_one, 1)*$A$51,MAX(0, $A$51*reward*(1+MAX(0,5-expires)*0.1)*IF(lives&lt;=1, life_penalty_at_one, 1)*($A$51+(1-$A$51)*q_survive_on_fail) - (1-$A$51)*potion_cost*gamma)))</f>
        <v>0</v>
      </c>
    </row>
    <row r="52" spans="1:7">
      <c r="A52">
        <v>0.5045454545454545</v>
      </c>
      <c r="B52">
        <f>$A$52*reward*(1+MAX(0,5-expires)*0.1)*IF(lives&lt;=1, life_penalty_at_one, 1)</f>
        <v>0</v>
      </c>
      <c r="C52">
        <f>($A$52^IF(lives&lt;=1,1.8,IF(lives=2,1.5,1.2)))*(MAX(0,reward)^0.85)*(1+MIN(0.5,0.15*MAX(0,5-expires)))*IF($A$52&lt;0.4, MAX(0.5, 1 - IF(lives&lt;=1,1.2,IF(lives=2,0.8,0.5))*(0.4 - $A$52)), 1)</f>
        <v>0</v>
      </c>
      <c r="D52">
        <f>IF(lives&gt;1,$A$52*reward*(1+MAX(0,5-expires)*0.1)*IF(lives&lt;=1, life_penalty_at_one, 1),IF(gold0&lt;potion_cost,$A$52*reward*(1+MAX(0,5-expires)*0.1)*IF(lives&lt;=1, life_penalty_at_one, 1)*$A$52,MAX(0, $A$52*reward*(1+MAX(0,5-expires)*0.1)*IF(lives&lt;=1, life_penalty_at_one, 1)*($A$52+(1-$A$52)*q_survive_on_fail) - (1-$A$52)*potion_cost*gamma)))</f>
        <v>0</v>
      </c>
      <c r="E52">
        <f>IF(lives&gt;1,$A$52*reward*(1+MAX(0,5-expires)*0.1)*IF(lives&lt;=1, life_penalty_at_one, 1),IF(gold1&lt;potion_cost,$A$52*reward*(1+MAX(0,5-expires)*0.1)*IF(lives&lt;=1, life_penalty_at_one, 1)*$A$52,MAX(0, $A$52*reward*(1+MAX(0,5-expires)*0.1)*IF(lives&lt;=1, life_penalty_at_one, 1)*($A$52+(1-$A$52)*q_survive_on_fail) - (1-$A$52)*potion_cost*gamma)))</f>
        <v>0</v>
      </c>
      <c r="F52">
        <f>IF(lives&gt;1,$A$52*reward*(1+MAX(0,5-expires)*0.1)*IF(lives&lt;=1, life_penalty_at_one, 1),IF(gold2&lt;potion_cost,$A$52*reward*(1+MAX(0,5-expires)*0.1)*IF(lives&lt;=1, life_penalty_at_one, 1)*$A$52,MAX(0, $A$52*reward*(1+MAX(0,5-expires)*0.1)*IF(lives&lt;=1, life_penalty_at_one, 1)*($A$52+(1-$A$52)*q_survive_on_fail) - (1-$A$52)*potion_cost*gamma)))</f>
        <v>0</v>
      </c>
      <c r="G52">
        <f>IF(lives&gt;1,$A$52*reward*(1+MAX(0,5-expires)*0.1)*IF(lives&lt;=1, life_penalty_at_one, 1),IF(gold3&lt;potion_cost,$A$52*reward*(1+MAX(0,5-expires)*0.1)*IF(lives&lt;=1, life_penalty_at_one, 1)*$A$52,MAX(0, $A$52*reward*(1+MAX(0,5-expires)*0.1)*IF(lives&lt;=1, life_penalty_at_one, 1)*($A$52+(1-$A$52)*q_survive_on_fail) - (1-$A$52)*potion_cost*gamma)))</f>
        <v>0</v>
      </c>
    </row>
    <row r="53" spans="1:7">
      <c r="A53">
        <v>0.5136363636363637</v>
      </c>
      <c r="B53">
        <f>$A$53*reward*(1+MAX(0,5-expires)*0.1)*IF(lives&lt;=1, life_penalty_at_one, 1)</f>
        <v>0</v>
      </c>
      <c r="C53">
        <f>($A$53^IF(lives&lt;=1,1.8,IF(lives=2,1.5,1.2)))*(MAX(0,reward)^0.85)*(1+MIN(0.5,0.15*MAX(0,5-expires)))*IF($A$53&lt;0.4, MAX(0.5, 1 - IF(lives&lt;=1,1.2,IF(lives=2,0.8,0.5))*(0.4 - $A$53)), 1)</f>
        <v>0</v>
      </c>
      <c r="D53">
        <f>IF(lives&gt;1,$A$53*reward*(1+MAX(0,5-expires)*0.1)*IF(lives&lt;=1, life_penalty_at_one, 1),IF(gold0&lt;potion_cost,$A$53*reward*(1+MAX(0,5-expires)*0.1)*IF(lives&lt;=1, life_penalty_at_one, 1)*$A$53,MAX(0, $A$53*reward*(1+MAX(0,5-expires)*0.1)*IF(lives&lt;=1, life_penalty_at_one, 1)*($A$53+(1-$A$53)*q_survive_on_fail) - (1-$A$53)*potion_cost*gamma)))</f>
        <v>0</v>
      </c>
      <c r="E53">
        <f>IF(lives&gt;1,$A$53*reward*(1+MAX(0,5-expires)*0.1)*IF(lives&lt;=1, life_penalty_at_one, 1),IF(gold1&lt;potion_cost,$A$53*reward*(1+MAX(0,5-expires)*0.1)*IF(lives&lt;=1, life_penalty_at_one, 1)*$A$53,MAX(0, $A$53*reward*(1+MAX(0,5-expires)*0.1)*IF(lives&lt;=1, life_penalty_at_one, 1)*($A$53+(1-$A$53)*q_survive_on_fail) - (1-$A$53)*potion_cost*gamma)))</f>
        <v>0</v>
      </c>
      <c r="F53">
        <f>IF(lives&gt;1,$A$53*reward*(1+MAX(0,5-expires)*0.1)*IF(lives&lt;=1, life_penalty_at_one, 1),IF(gold2&lt;potion_cost,$A$53*reward*(1+MAX(0,5-expires)*0.1)*IF(lives&lt;=1, life_penalty_at_one, 1)*$A$53,MAX(0, $A$53*reward*(1+MAX(0,5-expires)*0.1)*IF(lives&lt;=1, life_penalty_at_one, 1)*($A$53+(1-$A$53)*q_survive_on_fail) - (1-$A$53)*potion_cost*gamma)))</f>
        <v>0</v>
      </c>
      <c r="G53">
        <f>IF(lives&gt;1,$A$53*reward*(1+MAX(0,5-expires)*0.1)*IF(lives&lt;=1, life_penalty_at_one, 1),IF(gold3&lt;potion_cost,$A$53*reward*(1+MAX(0,5-expires)*0.1)*IF(lives&lt;=1, life_penalty_at_one, 1)*$A$53,MAX(0, $A$53*reward*(1+MAX(0,5-expires)*0.1)*IF(lives&lt;=1, life_penalty_at_one, 1)*($A$53+(1-$A$53)*q_survive_on_fail) - (1-$A$53)*potion_cost*gamma)))</f>
        <v>0</v>
      </c>
    </row>
    <row r="54" spans="1:7">
      <c r="A54">
        <v>0.5227272727272727</v>
      </c>
      <c r="B54">
        <f>$A$54*reward*(1+MAX(0,5-expires)*0.1)*IF(lives&lt;=1, life_penalty_at_one, 1)</f>
        <v>0</v>
      </c>
      <c r="C54">
        <f>($A$54^IF(lives&lt;=1,1.8,IF(lives=2,1.5,1.2)))*(MAX(0,reward)^0.85)*(1+MIN(0.5,0.15*MAX(0,5-expires)))*IF($A$54&lt;0.4, MAX(0.5, 1 - IF(lives&lt;=1,1.2,IF(lives=2,0.8,0.5))*(0.4 - $A$54)), 1)</f>
        <v>0</v>
      </c>
      <c r="D54">
        <f>IF(lives&gt;1,$A$54*reward*(1+MAX(0,5-expires)*0.1)*IF(lives&lt;=1, life_penalty_at_one, 1),IF(gold0&lt;potion_cost,$A$54*reward*(1+MAX(0,5-expires)*0.1)*IF(lives&lt;=1, life_penalty_at_one, 1)*$A$54,MAX(0, $A$54*reward*(1+MAX(0,5-expires)*0.1)*IF(lives&lt;=1, life_penalty_at_one, 1)*($A$54+(1-$A$54)*q_survive_on_fail) - (1-$A$54)*potion_cost*gamma)))</f>
        <v>0</v>
      </c>
      <c r="E54">
        <f>IF(lives&gt;1,$A$54*reward*(1+MAX(0,5-expires)*0.1)*IF(lives&lt;=1, life_penalty_at_one, 1),IF(gold1&lt;potion_cost,$A$54*reward*(1+MAX(0,5-expires)*0.1)*IF(lives&lt;=1, life_penalty_at_one, 1)*$A$54,MAX(0, $A$54*reward*(1+MAX(0,5-expires)*0.1)*IF(lives&lt;=1, life_penalty_at_one, 1)*($A$54+(1-$A$54)*q_survive_on_fail) - (1-$A$54)*potion_cost*gamma)))</f>
        <v>0</v>
      </c>
      <c r="F54">
        <f>IF(lives&gt;1,$A$54*reward*(1+MAX(0,5-expires)*0.1)*IF(lives&lt;=1, life_penalty_at_one, 1),IF(gold2&lt;potion_cost,$A$54*reward*(1+MAX(0,5-expires)*0.1)*IF(lives&lt;=1, life_penalty_at_one, 1)*$A$54,MAX(0, $A$54*reward*(1+MAX(0,5-expires)*0.1)*IF(lives&lt;=1, life_penalty_at_one, 1)*($A$54+(1-$A$54)*q_survive_on_fail) - (1-$A$54)*potion_cost*gamma)))</f>
        <v>0</v>
      </c>
      <c r="G54">
        <f>IF(lives&gt;1,$A$54*reward*(1+MAX(0,5-expires)*0.1)*IF(lives&lt;=1, life_penalty_at_one, 1),IF(gold3&lt;potion_cost,$A$54*reward*(1+MAX(0,5-expires)*0.1)*IF(lives&lt;=1, life_penalty_at_one, 1)*$A$54,MAX(0, $A$54*reward*(1+MAX(0,5-expires)*0.1)*IF(lives&lt;=1, life_penalty_at_one, 1)*($A$54+(1-$A$54)*q_survive_on_fail) - (1-$A$54)*potion_cost*gamma)))</f>
        <v>0</v>
      </c>
    </row>
    <row r="55" spans="1:7">
      <c r="A55">
        <v>0.5318181818181819</v>
      </c>
      <c r="B55">
        <f>$A$55*reward*(1+MAX(0,5-expires)*0.1)*IF(lives&lt;=1, life_penalty_at_one, 1)</f>
        <v>0</v>
      </c>
      <c r="C55">
        <f>($A$55^IF(lives&lt;=1,1.8,IF(lives=2,1.5,1.2)))*(MAX(0,reward)^0.85)*(1+MIN(0.5,0.15*MAX(0,5-expires)))*IF($A$55&lt;0.4, MAX(0.5, 1 - IF(lives&lt;=1,1.2,IF(lives=2,0.8,0.5))*(0.4 - $A$55)), 1)</f>
        <v>0</v>
      </c>
      <c r="D55">
        <f>IF(lives&gt;1,$A$55*reward*(1+MAX(0,5-expires)*0.1)*IF(lives&lt;=1, life_penalty_at_one, 1),IF(gold0&lt;potion_cost,$A$55*reward*(1+MAX(0,5-expires)*0.1)*IF(lives&lt;=1, life_penalty_at_one, 1)*$A$55,MAX(0, $A$55*reward*(1+MAX(0,5-expires)*0.1)*IF(lives&lt;=1, life_penalty_at_one, 1)*($A$55+(1-$A$55)*q_survive_on_fail) - (1-$A$55)*potion_cost*gamma)))</f>
        <v>0</v>
      </c>
      <c r="E55">
        <f>IF(lives&gt;1,$A$55*reward*(1+MAX(0,5-expires)*0.1)*IF(lives&lt;=1, life_penalty_at_one, 1),IF(gold1&lt;potion_cost,$A$55*reward*(1+MAX(0,5-expires)*0.1)*IF(lives&lt;=1, life_penalty_at_one, 1)*$A$55,MAX(0, $A$55*reward*(1+MAX(0,5-expires)*0.1)*IF(lives&lt;=1, life_penalty_at_one, 1)*($A$55+(1-$A$55)*q_survive_on_fail) - (1-$A$55)*potion_cost*gamma)))</f>
        <v>0</v>
      </c>
      <c r="F55">
        <f>IF(lives&gt;1,$A$55*reward*(1+MAX(0,5-expires)*0.1)*IF(lives&lt;=1, life_penalty_at_one, 1),IF(gold2&lt;potion_cost,$A$55*reward*(1+MAX(0,5-expires)*0.1)*IF(lives&lt;=1, life_penalty_at_one, 1)*$A$55,MAX(0, $A$55*reward*(1+MAX(0,5-expires)*0.1)*IF(lives&lt;=1, life_penalty_at_one, 1)*($A$55+(1-$A$55)*q_survive_on_fail) - (1-$A$55)*potion_cost*gamma)))</f>
        <v>0</v>
      </c>
      <c r="G55">
        <f>IF(lives&gt;1,$A$55*reward*(1+MAX(0,5-expires)*0.1)*IF(lives&lt;=1, life_penalty_at_one, 1),IF(gold3&lt;potion_cost,$A$55*reward*(1+MAX(0,5-expires)*0.1)*IF(lives&lt;=1, life_penalty_at_one, 1)*$A$55,MAX(0, $A$55*reward*(1+MAX(0,5-expires)*0.1)*IF(lives&lt;=1, life_penalty_at_one, 1)*($A$55+(1-$A$55)*q_survive_on_fail) - (1-$A$55)*potion_cost*gamma)))</f>
        <v>0</v>
      </c>
    </row>
    <row r="56" spans="1:7">
      <c r="A56">
        <v>0.5409090909090909</v>
      </c>
      <c r="B56">
        <f>$A$56*reward*(1+MAX(0,5-expires)*0.1)*IF(lives&lt;=1, life_penalty_at_one, 1)</f>
        <v>0</v>
      </c>
      <c r="C56">
        <f>($A$56^IF(lives&lt;=1,1.8,IF(lives=2,1.5,1.2)))*(MAX(0,reward)^0.85)*(1+MIN(0.5,0.15*MAX(0,5-expires)))*IF($A$56&lt;0.4, MAX(0.5, 1 - IF(lives&lt;=1,1.2,IF(lives=2,0.8,0.5))*(0.4 - $A$56)), 1)</f>
        <v>0</v>
      </c>
      <c r="D56">
        <f>IF(lives&gt;1,$A$56*reward*(1+MAX(0,5-expires)*0.1)*IF(lives&lt;=1, life_penalty_at_one, 1),IF(gold0&lt;potion_cost,$A$56*reward*(1+MAX(0,5-expires)*0.1)*IF(lives&lt;=1, life_penalty_at_one, 1)*$A$56,MAX(0, $A$56*reward*(1+MAX(0,5-expires)*0.1)*IF(lives&lt;=1, life_penalty_at_one, 1)*($A$56+(1-$A$56)*q_survive_on_fail) - (1-$A$56)*potion_cost*gamma)))</f>
        <v>0</v>
      </c>
      <c r="E56">
        <f>IF(lives&gt;1,$A$56*reward*(1+MAX(0,5-expires)*0.1)*IF(lives&lt;=1, life_penalty_at_one, 1),IF(gold1&lt;potion_cost,$A$56*reward*(1+MAX(0,5-expires)*0.1)*IF(lives&lt;=1, life_penalty_at_one, 1)*$A$56,MAX(0, $A$56*reward*(1+MAX(0,5-expires)*0.1)*IF(lives&lt;=1, life_penalty_at_one, 1)*($A$56+(1-$A$56)*q_survive_on_fail) - (1-$A$56)*potion_cost*gamma)))</f>
        <v>0</v>
      </c>
      <c r="F56">
        <f>IF(lives&gt;1,$A$56*reward*(1+MAX(0,5-expires)*0.1)*IF(lives&lt;=1, life_penalty_at_one, 1),IF(gold2&lt;potion_cost,$A$56*reward*(1+MAX(0,5-expires)*0.1)*IF(lives&lt;=1, life_penalty_at_one, 1)*$A$56,MAX(0, $A$56*reward*(1+MAX(0,5-expires)*0.1)*IF(lives&lt;=1, life_penalty_at_one, 1)*($A$56+(1-$A$56)*q_survive_on_fail) - (1-$A$56)*potion_cost*gamma)))</f>
        <v>0</v>
      </c>
      <c r="G56">
        <f>IF(lives&gt;1,$A$56*reward*(1+MAX(0,5-expires)*0.1)*IF(lives&lt;=1, life_penalty_at_one, 1),IF(gold3&lt;potion_cost,$A$56*reward*(1+MAX(0,5-expires)*0.1)*IF(lives&lt;=1, life_penalty_at_one, 1)*$A$56,MAX(0, $A$56*reward*(1+MAX(0,5-expires)*0.1)*IF(lives&lt;=1, life_penalty_at_one, 1)*($A$56+(1-$A$56)*q_survive_on_fail) - (1-$A$56)*potion_cost*gamma)))</f>
        <v>0</v>
      </c>
    </row>
    <row r="57" spans="1:7">
      <c r="A57">
        <v>0.55</v>
      </c>
      <c r="B57">
        <f>$A$57*reward*(1+MAX(0,5-expires)*0.1)*IF(lives&lt;=1, life_penalty_at_one, 1)</f>
        <v>0</v>
      </c>
      <c r="C57">
        <f>($A$57^IF(lives&lt;=1,1.8,IF(lives=2,1.5,1.2)))*(MAX(0,reward)^0.85)*(1+MIN(0.5,0.15*MAX(0,5-expires)))*IF($A$57&lt;0.4, MAX(0.5, 1 - IF(lives&lt;=1,1.2,IF(lives=2,0.8,0.5))*(0.4 - $A$57)), 1)</f>
        <v>0</v>
      </c>
      <c r="D57">
        <f>IF(lives&gt;1,$A$57*reward*(1+MAX(0,5-expires)*0.1)*IF(lives&lt;=1, life_penalty_at_one, 1),IF(gold0&lt;potion_cost,$A$57*reward*(1+MAX(0,5-expires)*0.1)*IF(lives&lt;=1, life_penalty_at_one, 1)*$A$57,MAX(0, $A$57*reward*(1+MAX(0,5-expires)*0.1)*IF(lives&lt;=1, life_penalty_at_one, 1)*($A$57+(1-$A$57)*q_survive_on_fail) - (1-$A$57)*potion_cost*gamma)))</f>
        <v>0</v>
      </c>
      <c r="E57">
        <f>IF(lives&gt;1,$A$57*reward*(1+MAX(0,5-expires)*0.1)*IF(lives&lt;=1, life_penalty_at_one, 1),IF(gold1&lt;potion_cost,$A$57*reward*(1+MAX(0,5-expires)*0.1)*IF(lives&lt;=1, life_penalty_at_one, 1)*$A$57,MAX(0, $A$57*reward*(1+MAX(0,5-expires)*0.1)*IF(lives&lt;=1, life_penalty_at_one, 1)*($A$57+(1-$A$57)*q_survive_on_fail) - (1-$A$57)*potion_cost*gamma)))</f>
        <v>0</v>
      </c>
      <c r="F57">
        <f>IF(lives&gt;1,$A$57*reward*(1+MAX(0,5-expires)*0.1)*IF(lives&lt;=1, life_penalty_at_one, 1),IF(gold2&lt;potion_cost,$A$57*reward*(1+MAX(0,5-expires)*0.1)*IF(lives&lt;=1, life_penalty_at_one, 1)*$A$57,MAX(0, $A$57*reward*(1+MAX(0,5-expires)*0.1)*IF(lives&lt;=1, life_penalty_at_one, 1)*($A$57+(1-$A$57)*q_survive_on_fail) - (1-$A$57)*potion_cost*gamma)))</f>
        <v>0</v>
      </c>
      <c r="G57">
        <f>IF(lives&gt;1,$A$57*reward*(1+MAX(0,5-expires)*0.1)*IF(lives&lt;=1, life_penalty_at_one, 1),IF(gold3&lt;potion_cost,$A$57*reward*(1+MAX(0,5-expires)*0.1)*IF(lives&lt;=1, life_penalty_at_one, 1)*$A$57,MAX(0, $A$57*reward*(1+MAX(0,5-expires)*0.1)*IF(lives&lt;=1, life_penalty_at_one, 1)*($A$57+(1-$A$57)*q_survive_on_fail) - (1-$A$57)*potion_cost*gamma)))</f>
        <v>0</v>
      </c>
    </row>
    <row r="58" spans="1:7">
      <c r="A58">
        <v>0.5590909090909091</v>
      </c>
      <c r="B58">
        <f>$A$58*reward*(1+MAX(0,5-expires)*0.1)*IF(lives&lt;=1, life_penalty_at_one, 1)</f>
        <v>0</v>
      </c>
      <c r="C58">
        <f>($A$58^IF(lives&lt;=1,1.8,IF(lives=2,1.5,1.2)))*(MAX(0,reward)^0.85)*(1+MIN(0.5,0.15*MAX(0,5-expires)))*IF($A$58&lt;0.4, MAX(0.5, 1 - IF(lives&lt;=1,1.2,IF(lives=2,0.8,0.5))*(0.4 - $A$58)), 1)</f>
        <v>0</v>
      </c>
      <c r="D58">
        <f>IF(lives&gt;1,$A$58*reward*(1+MAX(0,5-expires)*0.1)*IF(lives&lt;=1, life_penalty_at_one, 1),IF(gold0&lt;potion_cost,$A$58*reward*(1+MAX(0,5-expires)*0.1)*IF(lives&lt;=1, life_penalty_at_one, 1)*$A$58,MAX(0, $A$58*reward*(1+MAX(0,5-expires)*0.1)*IF(lives&lt;=1, life_penalty_at_one, 1)*($A$58+(1-$A$58)*q_survive_on_fail) - (1-$A$58)*potion_cost*gamma)))</f>
        <v>0</v>
      </c>
      <c r="E58">
        <f>IF(lives&gt;1,$A$58*reward*(1+MAX(0,5-expires)*0.1)*IF(lives&lt;=1, life_penalty_at_one, 1),IF(gold1&lt;potion_cost,$A$58*reward*(1+MAX(0,5-expires)*0.1)*IF(lives&lt;=1, life_penalty_at_one, 1)*$A$58,MAX(0, $A$58*reward*(1+MAX(0,5-expires)*0.1)*IF(lives&lt;=1, life_penalty_at_one, 1)*($A$58+(1-$A$58)*q_survive_on_fail) - (1-$A$58)*potion_cost*gamma)))</f>
        <v>0</v>
      </c>
      <c r="F58">
        <f>IF(lives&gt;1,$A$58*reward*(1+MAX(0,5-expires)*0.1)*IF(lives&lt;=1, life_penalty_at_one, 1),IF(gold2&lt;potion_cost,$A$58*reward*(1+MAX(0,5-expires)*0.1)*IF(lives&lt;=1, life_penalty_at_one, 1)*$A$58,MAX(0, $A$58*reward*(1+MAX(0,5-expires)*0.1)*IF(lives&lt;=1, life_penalty_at_one, 1)*($A$58+(1-$A$58)*q_survive_on_fail) - (1-$A$58)*potion_cost*gamma)))</f>
        <v>0</v>
      </c>
      <c r="G58">
        <f>IF(lives&gt;1,$A$58*reward*(1+MAX(0,5-expires)*0.1)*IF(lives&lt;=1, life_penalty_at_one, 1),IF(gold3&lt;potion_cost,$A$58*reward*(1+MAX(0,5-expires)*0.1)*IF(lives&lt;=1, life_penalty_at_one, 1)*$A$58,MAX(0, $A$58*reward*(1+MAX(0,5-expires)*0.1)*IF(lives&lt;=1, life_penalty_at_one, 1)*($A$58+(1-$A$58)*q_survive_on_fail) - (1-$A$58)*potion_cost*gamma)))</f>
        <v>0</v>
      </c>
    </row>
    <row r="59" spans="1:7">
      <c r="A59">
        <v>0.5681818181818182</v>
      </c>
      <c r="B59">
        <f>$A$59*reward*(1+MAX(0,5-expires)*0.1)*IF(lives&lt;=1, life_penalty_at_one, 1)</f>
        <v>0</v>
      </c>
      <c r="C59">
        <f>($A$59^IF(lives&lt;=1,1.8,IF(lives=2,1.5,1.2)))*(MAX(0,reward)^0.85)*(1+MIN(0.5,0.15*MAX(0,5-expires)))*IF($A$59&lt;0.4, MAX(0.5, 1 - IF(lives&lt;=1,1.2,IF(lives=2,0.8,0.5))*(0.4 - $A$59)), 1)</f>
        <v>0</v>
      </c>
      <c r="D59">
        <f>IF(lives&gt;1,$A$59*reward*(1+MAX(0,5-expires)*0.1)*IF(lives&lt;=1, life_penalty_at_one, 1),IF(gold0&lt;potion_cost,$A$59*reward*(1+MAX(0,5-expires)*0.1)*IF(lives&lt;=1, life_penalty_at_one, 1)*$A$59,MAX(0, $A$59*reward*(1+MAX(0,5-expires)*0.1)*IF(lives&lt;=1, life_penalty_at_one, 1)*($A$59+(1-$A$59)*q_survive_on_fail) - (1-$A$59)*potion_cost*gamma)))</f>
        <v>0</v>
      </c>
      <c r="E59">
        <f>IF(lives&gt;1,$A$59*reward*(1+MAX(0,5-expires)*0.1)*IF(lives&lt;=1, life_penalty_at_one, 1),IF(gold1&lt;potion_cost,$A$59*reward*(1+MAX(0,5-expires)*0.1)*IF(lives&lt;=1, life_penalty_at_one, 1)*$A$59,MAX(0, $A$59*reward*(1+MAX(0,5-expires)*0.1)*IF(lives&lt;=1, life_penalty_at_one, 1)*($A$59+(1-$A$59)*q_survive_on_fail) - (1-$A$59)*potion_cost*gamma)))</f>
        <v>0</v>
      </c>
      <c r="F59">
        <f>IF(lives&gt;1,$A$59*reward*(1+MAX(0,5-expires)*0.1)*IF(lives&lt;=1, life_penalty_at_one, 1),IF(gold2&lt;potion_cost,$A$59*reward*(1+MAX(0,5-expires)*0.1)*IF(lives&lt;=1, life_penalty_at_one, 1)*$A$59,MAX(0, $A$59*reward*(1+MAX(0,5-expires)*0.1)*IF(lives&lt;=1, life_penalty_at_one, 1)*($A$59+(1-$A$59)*q_survive_on_fail) - (1-$A$59)*potion_cost*gamma)))</f>
        <v>0</v>
      </c>
      <c r="G59">
        <f>IF(lives&gt;1,$A$59*reward*(1+MAX(0,5-expires)*0.1)*IF(lives&lt;=1, life_penalty_at_one, 1),IF(gold3&lt;potion_cost,$A$59*reward*(1+MAX(0,5-expires)*0.1)*IF(lives&lt;=1, life_penalty_at_one, 1)*$A$59,MAX(0, $A$59*reward*(1+MAX(0,5-expires)*0.1)*IF(lives&lt;=1, life_penalty_at_one, 1)*($A$59+(1-$A$59)*q_survive_on_fail) - (1-$A$59)*potion_cost*gamma)))</f>
        <v>0</v>
      </c>
    </row>
    <row r="60" spans="1:7">
      <c r="A60">
        <v>0.5772727272727273</v>
      </c>
      <c r="B60">
        <f>$A$60*reward*(1+MAX(0,5-expires)*0.1)*IF(lives&lt;=1, life_penalty_at_one, 1)</f>
        <v>0</v>
      </c>
      <c r="C60">
        <f>($A$60^IF(lives&lt;=1,1.8,IF(lives=2,1.5,1.2)))*(MAX(0,reward)^0.85)*(1+MIN(0.5,0.15*MAX(0,5-expires)))*IF($A$60&lt;0.4, MAX(0.5, 1 - IF(lives&lt;=1,1.2,IF(lives=2,0.8,0.5))*(0.4 - $A$60)), 1)</f>
        <v>0</v>
      </c>
      <c r="D60">
        <f>IF(lives&gt;1,$A$60*reward*(1+MAX(0,5-expires)*0.1)*IF(lives&lt;=1, life_penalty_at_one, 1),IF(gold0&lt;potion_cost,$A$60*reward*(1+MAX(0,5-expires)*0.1)*IF(lives&lt;=1, life_penalty_at_one, 1)*$A$60,MAX(0, $A$60*reward*(1+MAX(0,5-expires)*0.1)*IF(lives&lt;=1, life_penalty_at_one, 1)*($A$60+(1-$A$60)*q_survive_on_fail) - (1-$A$60)*potion_cost*gamma)))</f>
        <v>0</v>
      </c>
      <c r="E60">
        <f>IF(lives&gt;1,$A$60*reward*(1+MAX(0,5-expires)*0.1)*IF(lives&lt;=1, life_penalty_at_one, 1),IF(gold1&lt;potion_cost,$A$60*reward*(1+MAX(0,5-expires)*0.1)*IF(lives&lt;=1, life_penalty_at_one, 1)*$A$60,MAX(0, $A$60*reward*(1+MAX(0,5-expires)*0.1)*IF(lives&lt;=1, life_penalty_at_one, 1)*($A$60+(1-$A$60)*q_survive_on_fail) - (1-$A$60)*potion_cost*gamma)))</f>
        <v>0</v>
      </c>
      <c r="F60">
        <f>IF(lives&gt;1,$A$60*reward*(1+MAX(0,5-expires)*0.1)*IF(lives&lt;=1, life_penalty_at_one, 1),IF(gold2&lt;potion_cost,$A$60*reward*(1+MAX(0,5-expires)*0.1)*IF(lives&lt;=1, life_penalty_at_one, 1)*$A$60,MAX(0, $A$60*reward*(1+MAX(0,5-expires)*0.1)*IF(lives&lt;=1, life_penalty_at_one, 1)*($A$60+(1-$A$60)*q_survive_on_fail) - (1-$A$60)*potion_cost*gamma)))</f>
        <v>0</v>
      </c>
      <c r="G60">
        <f>IF(lives&gt;1,$A$60*reward*(1+MAX(0,5-expires)*0.1)*IF(lives&lt;=1, life_penalty_at_one, 1),IF(gold3&lt;potion_cost,$A$60*reward*(1+MAX(0,5-expires)*0.1)*IF(lives&lt;=1, life_penalty_at_one, 1)*$A$60,MAX(0, $A$60*reward*(1+MAX(0,5-expires)*0.1)*IF(lives&lt;=1, life_penalty_at_one, 1)*($A$60+(1-$A$60)*q_survive_on_fail) - (1-$A$60)*potion_cost*gamma)))</f>
        <v>0</v>
      </c>
    </row>
    <row r="61" spans="1:7">
      <c r="A61">
        <v>0.5863636363636364</v>
      </c>
      <c r="B61">
        <f>$A$61*reward*(1+MAX(0,5-expires)*0.1)*IF(lives&lt;=1, life_penalty_at_one, 1)</f>
        <v>0</v>
      </c>
      <c r="C61">
        <f>($A$61^IF(lives&lt;=1,1.8,IF(lives=2,1.5,1.2)))*(MAX(0,reward)^0.85)*(1+MIN(0.5,0.15*MAX(0,5-expires)))*IF($A$61&lt;0.4, MAX(0.5, 1 - IF(lives&lt;=1,1.2,IF(lives=2,0.8,0.5))*(0.4 - $A$61)), 1)</f>
        <v>0</v>
      </c>
      <c r="D61">
        <f>IF(lives&gt;1,$A$61*reward*(1+MAX(0,5-expires)*0.1)*IF(lives&lt;=1, life_penalty_at_one, 1),IF(gold0&lt;potion_cost,$A$61*reward*(1+MAX(0,5-expires)*0.1)*IF(lives&lt;=1, life_penalty_at_one, 1)*$A$61,MAX(0, $A$61*reward*(1+MAX(0,5-expires)*0.1)*IF(lives&lt;=1, life_penalty_at_one, 1)*($A$61+(1-$A$61)*q_survive_on_fail) - (1-$A$61)*potion_cost*gamma)))</f>
        <v>0</v>
      </c>
      <c r="E61">
        <f>IF(lives&gt;1,$A$61*reward*(1+MAX(0,5-expires)*0.1)*IF(lives&lt;=1, life_penalty_at_one, 1),IF(gold1&lt;potion_cost,$A$61*reward*(1+MAX(0,5-expires)*0.1)*IF(lives&lt;=1, life_penalty_at_one, 1)*$A$61,MAX(0, $A$61*reward*(1+MAX(0,5-expires)*0.1)*IF(lives&lt;=1, life_penalty_at_one, 1)*($A$61+(1-$A$61)*q_survive_on_fail) - (1-$A$61)*potion_cost*gamma)))</f>
        <v>0</v>
      </c>
      <c r="F61">
        <f>IF(lives&gt;1,$A$61*reward*(1+MAX(0,5-expires)*0.1)*IF(lives&lt;=1, life_penalty_at_one, 1),IF(gold2&lt;potion_cost,$A$61*reward*(1+MAX(0,5-expires)*0.1)*IF(lives&lt;=1, life_penalty_at_one, 1)*$A$61,MAX(0, $A$61*reward*(1+MAX(0,5-expires)*0.1)*IF(lives&lt;=1, life_penalty_at_one, 1)*($A$61+(1-$A$61)*q_survive_on_fail) - (1-$A$61)*potion_cost*gamma)))</f>
        <v>0</v>
      </c>
      <c r="G61">
        <f>IF(lives&gt;1,$A$61*reward*(1+MAX(0,5-expires)*0.1)*IF(lives&lt;=1, life_penalty_at_one, 1),IF(gold3&lt;potion_cost,$A$61*reward*(1+MAX(0,5-expires)*0.1)*IF(lives&lt;=1, life_penalty_at_one, 1)*$A$61,MAX(0, $A$61*reward*(1+MAX(0,5-expires)*0.1)*IF(lives&lt;=1, life_penalty_at_one, 1)*($A$61+(1-$A$61)*q_survive_on_fail) - (1-$A$61)*potion_cost*gamma)))</f>
        <v>0</v>
      </c>
    </row>
    <row r="62" spans="1:7">
      <c r="A62">
        <v>0.5954545454545455</v>
      </c>
      <c r="B62">
        <f>$A$62*reward*(1+MAX(0,5-expires)*0.1)*IF(lives&lt;=1, life_penalty_at_one, 1)</f>
        <v>0</v>
      </c>
      <c r="C62">
        <f>($A$62^IF(lives&lt;=1,1.8,IF(lives=2,1.5,1.2)))*(MAX(0,reward)^0.85)*(1+MIN(0.5,0.15*MAX(0,5-expires)))*IF($A$62&lt;0.4, MAX(0.5, 1 - IF(lives&lt;=1,1.2,IF(lives=2,0.8,0.5))*(0.4 - $A$62)), 1)</f>
        <v>0</v>
      </c>
      <c r="D62">
        <f>IF(lives&gt;1,$A$62*reward*(1+MAX(0,5-expires)*0.1)*IF(lives&lt;=1, life_penalty_at_one, 1),IF(gold0&lt;potion_cost,$A$62*reward*(1+MAX(0,5-expires)*0.1)*IF(lives&lt;=1, life_penalty_at_one, 1)*$A$62,MAX(0, $A$62*reward*(1+MAX(0,5-expires)*0.1)*IF(lives&lt;=1, life_penalty_at_one, 1)*($A$62+(1-$A$62)*q_survive_on_fail) - (1-$A$62)*potion_cost*gamma)))</f>
        <v>0</v>
      </c>
      <c r="E62">
        <f>IF(lives&gt;1,$A$62*reward*(1+MAX(0,5-expires)*0.1)*IF(lives&lt;=1, life_penalty_at_one, 1),IF(gold1&lt;potion_cost,$A$62*reward*(1+MAX(0,5-expires)*0.1)*IF(lives&lt;=1, life_penalty_at_one, 1)*$A$62,MAX(0, $A$62*reward*(1+MAX(0,5-expires)*0.1)*IF(lives&lt;=1, life_penalty_at_one, 1)*($A$62+(1-$A$62)*q_survive_on_fail) - (1-$A$62)*potion_cost*gamma)))</f>
        <v>0</v>
      </c>
      <c r="F62">
        <f>IF(lives&gt;1,$A$62*reward*(1+MAX(0,5-expires)*0.1)*IF(lives&lt;=1, life_penalty_at_one, 1),IF(gold2&lt;potion_cost,$A$62*reward*(1+MAX(0,5-expires)*0.1)*IF(lives&lt;=1, life_penalty_at_one, 1)*$A$62,MAX(0, $A$62*reward*(1+MAX(0,5-expires)*0.1)*IF(lives&lt;=1, life_penalty_at_one, 1)*($A$62+(1-$A$62)*q_survive_on_fail) - (1-$A$62)*potion_cost*gamma)))</f>
        <v>0</v>
      </c>
      <c r="G62">
        <f>IF(lives&gt;1,$A$62*reward*(1+MAX(0,5-expires)*0.1)*IF(lives&lt;=1, life_penalty_at_one, 1),IF(gold3&lt;potion_cost,$A$62*reward*(1+MAX(0,5-expires)*0.1)*IF(lives&lt;=1, life_penalty_at_one, 1)*$A$62,MAX(0, $A$62*reward*(1+MAX(0,5-expires)*0.1)*IF(lives&lt;=1, life_penalty_at_one, 1)*($A$62+(1-$A$62)*q_survive_on_fail) - (1-$A$62)*potion_cost*gamma)))</f>
        <v>0</v>
      </c>
    </row>
    <row r="63" spans="1:7">
      <c r="A63">
        <v>0.6045454545454546</v>
      </c>
      <c r="B63">
        <f>$A$63*reward*(1+MAX(0,5-expires)*0.1)*IF(lives&lt;=1, life_penalty_at_one, 1)</f>
        <v>0</v>
      </c>
      <c r="C63">
        <f>($A$63^IF(lives&lt;=1,1.8,IF(lives=2,1.5,1.2)))*(MAX(0,reward)^0.85)*(1+MIN(0.5,0.15*MAX(0,5-expires)))*IF($A$63&lt;0.4, MAX(0.5, 1 - IF(lives&lt;=1,1.2,IF(lives=2,0.8,0.5))*(0.4 - $A$63)), 1)</f>
        <v>0</v>
      </c>
      <c r="D63">
        <f>IF(lives&gt;1,$A$63*reward*(1+MAX(0,5-expires)*0.1)*IF(lives&lt;=1, life_penalty_at_one, 1),IF(gold0&lt;potion_cost,$A$63*reward*(1+MAX(0,5-expires)*0.1)*IF(lives&lt;=1, life_penalty_at_one, 1)*$A$63,MAX(0, $A$63*reward*(1+MAX(0,5-expires)*0.1)*IF(lives&lt;=1, life_penalty_at_one, 1)*($A$63+(1-$A$63)*q_survive_on_fail) - (1-$A$63)*potion_cost*gamma)))</f>
        <v>0</v>
      </c>
      <c r="E63">
        <f>IF(lives&gt;1,$A$63*reward*(1+MAX(0,5-expires)*0.1)*IF(lives&lt;=1, life_penalty_at_one, 1),IF(gold1&lt;potion_cost,$A$63*reward*(1+MAX(0,5-expires)*0.1)*IF(lives&lt;=1, life_penalty_at_one, 1)*$A$63,MAX(0, $A$63*reward*(1+MAX(0,5-expires)*0.1)*IF(lives&lt;=1, life_penalty_at_one, 1)*($A$63+(1-$A$63)*q_survive_on_fail) - (1-$A$63)*potion_cost*gamma)))</f>
        <v>0</v>
      </c>
      <c r="F63">
        <f>IF(lives&gt;1,$A$63*reward*(1+MAX(0,5-expires)*0.1)*IF(lives&lt;=1, life_penalty_at_one, 1),IF(gold2&lt;potion_cost,$A$63*reward*(1+MAX(0,5-expires)*0.1)*IF(lives&lt;=1, life_penalty_at_one, 1)*$A$63,MAX(0, $A$63*reward*(1+MAX(0,5-expires)*0.1)*IF(lives&lt;=1, life_penalty_at_one, 1)*($A$63+(1-$A$63)*q_survive_on_fail) - (1-$A$63)*potion_cost*gamma)))</f>
        <v>0</v>
      </c>
      <c r="G63">
        <f>IF(lives&gt;1,$A$63*reward*(1+MAX(0,5-expires)*0.1)*IF(lives&lt;=1, life_penalty_at_one, 1),IF(gold3&lt;potion_cost,$A$63*reward*(1+MAX(0,5-expires)*0.1)*IF(lives&lt;=1, life_penalty_at_one, 1)*$A$63,MAX(0, $A$63*reward*(1+MAX(0,5-expires)*0.1)*IF(lives&lt;=1, life_penalty_at_one, 1)*($A$63+(1-$A$63)*q_survive_on_fail) - (1-$A$63)*potion_cost*gamma)))</f>
        <v>0</v>
      </c>
    </row>
    <row r="64" spans="1:7">
      <c r="A64">
        <v>0.6136363636363636</v>
      </c>
      <c r="B64">
        <f>$A$64*reward*(1+MAX(0,5-expires)*0.1)*IF(lives&lt;=1, life_penalty_at_one, 1)</f>
        <v>0</v>
      </c>
      <c r="C64">
        <f>($A$64^IF(lives&lt;=1,1.8,IF(lives=2,1.5,1.2)))*(MAX(0,reward)^0.85)*(1+MIN(0.5,0.15*MAX(0,5-expires)))*IF($A$64&lt;0.4, MAX(0.5, 1 - IF(lives&lt;=1,1.2,IF(lives=2,0.8,0.5))*(0.4 - $A$64)), 1)</f>
        <v>0</v>
      </c>
      <c r="D64">
        <f>IF(lives&gt;1,$A$64*reward*(1+MAX(0,5-expires)*0.1)*IF(lives&lt;=1, life_penalty_at_one, 1),IF(gold0&lt;potion_cost,$A$64*reward*(1+MAX(0,5-expires)*0.1)*IF(lives&lt;=1, life_penalty_at_one, 1)*$A$64,MAX(0, $A$64*reward*(1+MAX(0,5-expires)*0.1)*IF(lives&lt;=1, life_penalty_at_one, 1)*($A$64+(1-$A$64)*q_survive_on_fail) - (1-$A$64)*potion_cost*gamma)))</f>
        <v>0</v>
      </c>
      <c r="E64">
        <f>IF(lives&gt;1,$A$64*reward*(1+MAX(0,5-expires)*0.1)*IF(lives&lt;=1, life_penalty_at_one, 1),IF(gold1&lt;potion_cost,$A$64*reward*(1+MAX(0,5-expires)*0.1)*IF(lives&lt;=1, life_penalty_at_one, 1)*$A$64,MAX(0, $A$64*reward*(1+MAX(0,5-expires)*0.1)*IF(lives&lt;=1, life_penalty_at_one, 1)*($A$64+(1-$A$64)*q_survive_on_fail) - (1-$A$64)*potion_cost*gamma)))</f>
        <v>0</v>
      </c>
      <c r="F64">
        <f>IF(lives&gt;1,$A$64*reward*(1+MAX(0,5-expires)*0.1)*IF(lives&lt;=1, life_penalty_at_one, 1),IF(gold2&lt;potion_cost,$A$64*reward*(1+MAX(0,5-expires)*0.1)*IF(lives&lt;=1, life_penalty_at_one, 1)*$A$64,MAX(0, $A$64*reward*(1+MAX(0,5-expires)*0.1)*IF(lives&lt;=1, life_penalty_at_one, 1)*($A$64+(1-$A$64)*q_survive_on_fail) - (1-$A$64)*potion_cost*gamma)))</f>
        <v>0</v>
      </c>
      <c r="G64">
        <f>IF(lives&gt;1,$A$64*reward*(1+MAX(0,5-expires)*0.1)*IF(lives&lt;=1, life_penalty_at_one, 1),IF(gold3&lt;potion_cost,$A$64*reward*(1+MAX(0,5-expires)*0.1)*IF(lives&lt;=1, life_penalty_at_one, 1)*$A$64,MAX(0, $A$64*reward*(1+MAX(0,5-expires)*0.1)*IF(lives&lt;=1, life_penalty_at_one, 1)*($A$64+(1-$A$64)*q_survive_on_fail) - (1-$A$64)*potion_cost*gamma)))</f>
        <v>0</v>
      </c>
    </row>
    <row r="65" spans="1:7">
      <c r="A65">
        <v>0.6227272727272728</v>
      </c>
      <c r="B65">
        <f>$A$65*reward*(1+MAX(0,5-expires)*0.1)*IF(lives&lt;=1, life_penalty_at_one, 1)</f>
        <v>0</v>
      </c>
      <c r="C65">
        <f>($A$65^IF(lives&lt;=1,1.8,IF(lives=2,1.5,1.2)))*(MAX(0,reward)^0.85)*(1+MIN(0.5,0.15*MAX(0,5-expires)))*IF($A$65&lt;0.4, MAX(0.5, 1 - IF(lives&lt;=1,1.2,IF(lives=2,0.8,0.5))*(0.4 - $A$65)), 1)</f>
        <v>0</v>
      </c>
      <c r="D65">
        <f>IF(lives&gt;1,$A$65*reward*(1+MAX(0,5-expires)*0.1)*IF(lives&lt;=1, life_penalty_at_one, 1),IF(gold0&lt;potion_cost,$A$65*reward*(1+MAX(0,5-expires)*0.1)*IF(lives&lt;=1, life_penalty_at_one, 1)*$A$65,MAX(0, $A$65*reward*(1+MAX(0,5-expires)*0.1)*IF(lives&lt;=1, life_penalty_at_one, 1)*($A$65+(1-$A$65)*q_survive_on_fail) - (1-$A$65)*potion_cost*gamma)))</f>
        <v>0</v>
      </c>
      <c r="E65">
        <f>IF(lives&gt;1,$A$65*reward*(1+MAX(0,5-expires)*0.1)*IF(lives&lt;=1, life_penalty_at_one, 1),IF(gold1&lt;potion_cost,$A$65*reward*(1+MAX(0,5-expires)*0.1)*IF(lives&lt;=1, life_penalty_at_one, 1)*$A$65,MAX(0, $A$65*reward*(1+MAX(0,5-expires)*0.1)*IF(lives&lt;=1, life_penalty_at_one, 1)*($A$65+(1-$A$65)*q_survive_on_fail) - (1-$A$65)*potion_cost*gamma)))</f>
        <v>0</v>
      </c>
      <c r="F65">
        <f>IF(lives&gt;1,$A$65*reward*(1+MAX(0,5-expires)*0.1)*IF(lives&lt;=1, life_penalty_at_one, 1),IF(gold2&lt;potion_cost,$A$65*reward*(1+MAX(0,5-expires)*0.1)*IF(lives&lt;=1, life_penalty_at_one, 1)*$A$65,MAX(0, $A$65*reward*(1+MAX(0,5-expires)*0.1)*IF(lives&lt;=1, life_penalty_at_one, 1)*($A$65+(1-$A$65)*q_survive_on_fail) - (1-$A$65)*potion_cost*gamma)))</f>
        <v>0</v>
      </c>
      <c r="G65">
        <f>IF(lives&gt;1,$A$65*reward*(1+MAX(0,5-expires)*0.1)*IF(lives&lt;=1, life_penalty_at_one, 1),IF(gold3&lt;potion_cost,$A$65*reward*(1+MAX(0,5-expires)*0.1)*IF(lives&lt;=1, life_penalty_at_one, 1)*$A$65,MAX(0, $A$65*reward*(1+MAX(0,5-expires)*0.1)*IF(lives&lt;=1, life_penalty_at_one, 1)*($A$65+(1-$A$65)*q_survive_on_fail) - (1-$A$65)*potion_cost*gamma)))</f>
        <v>0</v>
      </c>
    </row>
    <row r="66" spans="1:7">
      <c r="A66">
        <v>0.6318181818181818</v>
      </c>
      <c r="B66">
        <f>$A$66*reward*(1+MAX(0,5-expires)*0.1)*IF(lives&lt;=1, life_penalty_at_one, 1)</f>
        <v>0</v>
      </c>
      <c r="C66">
        <f>($A$66^IF(lives&lt;=1,1.8,IF(lives=2,1.5,1.2)))*(MAX(0,reward)^0.85)*(1+MIN(0.5,0.15*MAX(0,5-expires)))*IF($A$66&lt;0.4, MAX(0.5, 1 - IF(lives&lt;=1,1.2,IF(lives=2,0.8,0.5))*(0.4 - $A$66)), 1)</f>
        <v>0</v>
      </c>
      <c r="D66">
        <f>IF(lives&gt;1,$A$66*reward*(1+MAX(0,5-expires)*0.1)*IF(lives&lt;=1, life_penalty_at_one, 1),IF(gold0&lt;potion_cost,$A$66*reward*(1+MAX(0,5-expires)*0.1)*IF(lives&lt;=1, life_penalty_at_one, 1)*$A$66,MAX(0, $A$66*reward*(1+MAX(0,5-expires)*0.1)*IF(lives&lt;=1, life_penalty_at_one, 1)*($A$66+(1-$A$66)*q_survive_on_fail) - (1-$A$66)*potion_cost*gamma)))</f>
        <v>0</v>
      </c>
      <c r="E66">
        <f>IF(lives&gt;1,$A$66*reward*(1+MAX(0,5-expires)*0.1)*IF(lives&lt;=1, life_penalty_at_one, 1),IF(gold1&lt;potion_cost,$A$66*reward*(1+MAX(0,5-expires)*0.1)*IF(lives&lt;=1, life_penalty_at_one, 1)*$A$66,MAX(0, $A$66*reward*(1+MAX(0,5-expires)*0.1)*IF(lives&lt;=1, life_penalty_at_one, 1)*($A$66+(1-$A$66)*q_survive_on_fail) - (1-$A$66)*potion_cost*gamma)))</f>
        <v>0</v>
      </c>
      <c r="F66">
        <f>IF(lives&gt;1,$A$66*reward*(1+MAX(0,5-expires)*0.1)*IF(lives&lt;=1, life_penalty_at_one, 1),IF(gold2&lt;potion_cost,$A$66*reward*(1+MAX(0,5-expires)*0.1)*IF(lives&lt;=1, life_penalty_at_one, 1)*$A$66,MAX(0, $A$66*reward*(1+MAX(0,5-expires)*0.1)*IF(lives&lt;=1, life_penalty_at_one, 1)*($A$66+(1-$A$66)*q_survive_on_fail) - (1-$A$66)*potion_cost*gamma)))</f>
        <v>0</v>
      </c>
      <c r="G66">
        <f>IF(lives&gt;1,$A$66*reward*(1+MAX(0,5-expires)*0.1)*IF(lives&lt;=1, life_penalty_at_one, 1),IF(gold3&lt;potion_cost,$A$66*reward*(1+MAX(0,5-expires)*0.1)*IF(lives&lt;=1, life_penalty_at_one, 1)*$A$66,MAX(0, $A$66*reward*(1+MAX(0,5-expires)*0.1)*IF(lives&lt;=1, life_penalty_at_one, 1)*($A$66+(1-$A$66)*q_survive_on_fail) - (1-$A$66)*potion_cost*gamma)))</f>
        <v>0</v>
      </c>
    </row>
    <row r="67" spans="1:7">
      <c r="A67">
        <v>0.6409090909090909</v>
      </c>
      <c r="B67">
        <f>$A$67*reward*(1+MAX(0,5-expires)*0.1)*IF(lives&lt;=1, life_penalty_at_one, 1)</f>
        <v>0</v>
      </c>
      <c r="C67">
        <f>($A$67^IF(lives&lt;=1,1.8,IF(lives=2,1.5,1.2)))*(MAX(0,reward)^0.85)*(1+MIN(0.5,0.15*MAX(0,5-expires)))*IF($A$67&lt;0.4, MAX(0.5, 1 - IF(lives&lt;=1,1.2,IF(lives=2,0.8,0.5))*(0.4 - $A$67)), 1)</f>
        <v>0</v>
      </c>
      <c r="D67">
        <f>IF(lives&gt;1,$A$67*reward*(1+MAX(0,5-expires)*0.1)*IF(lives&lt;=1, life_penalty_at_one, 1),IF(gold0&lt;potion_cost,$A$67*reward*(1+MAX(0,5-expires)*0.1)*IF(lives&lt;=1, life_penalty_at_one, 1)*$A$67,MAX(0, $A$67*reward*(1+MAX(0,5-expires)*0.1)*IF(lives&lt;=1, life_penalty_at_one, 1)*($A$67+(1-$A$67)*q_survive_on_fail) - (1-$A$67)*potion_cost*gamma)))</f>
        <v>0</v>
      </c>
      <c r="E67">
        <f>IF(lives&gt;1,$A$67*reward*(1+MAX(0,5-expires)*0.1)*IF(lives&lt;=1, life_penalty_at_one, 1),IF(gold1&lt;potion_cost,$A$67*reward*(1+MAX(0,5-expires)*0.1)*IF(lives&lt;=1, life_penalty_at_one, 1)*$A$67,MAX(0, $A$67*reward*(1+MAX(0,5-expires)*0.1)*IF(lives&lt;=1, life_penalty_at_one, 1)*($A$67+(1-$A$67)*q_survive_on_fail) - (1-$A$67)*potion_cost*gamma)))</f>
        <v>0</v>
      </c>
      <c r="F67">
        <f>IF(lives&gt;1,$A$67*reward*(1+MAX(0,5-expires)*0.1)*IF(lives&lt;=1, life_penalty_at_one, 1),IF(gold2&lt;potion_cost,$A$67*reward*(1+MAX(0,5-expires)*0.1)*IF(lives&lt;=1, life_penalty_at_one, 1)*$A$67,MAX(0, $A$67*reward*(1+MAX(0,5-expires)*0.1)*IF(lives&lt;=1, life_penalty_at_one, 1)*($A$67+(1-$A$67)*q_survive_on_fail) - (1-$A$67)*potion_cost*gamma)))</f>
        <v>0</v>
      </c>
      <c r="G67">
        <f>IF(lives&gt;1,$A$67*reward*(1+MAX(0,5-expires)*0.1)*IF(lives&lt;=1, life_penalty_at_one, 1),IF(gold3&lt;potion_cost,$A$67*reward*(1+MAX(0,5-expires)*0.1)*IF(lives&lt;=1, life_penalty_at_one, 1)*$A$67,MAX(0, $A$67*reward*(1+MAX(0,5-expires)*0.1)*IF(lives&lt;=1, life_penalty_at_one, 1)*($A$67+(1-$A$67)*q_survive_on_fail) - (1-$A$67)*potion_cost*gamma)))</f>
        <v>0</v>
      </c>
    </row>
    <row r="68" spans="1:7">
      <c r="A68">
        <v>0.65</v>
      </c>
      <c r="B68">
        <f>$A$68*reward*(1+MAX(0,5-expires)*0.1)*IF(lives&lt;=1, life_penalty_at_one, 1)</f>
        <v>0</v>
      </c>
      <c r="C68">
        <f>($A$68^IF(lives&lt;=1,1.8,IF(lives=2,1.5,1.2)))*(MAX(0,reward)^0.85)*(1+MIN(0.5,0.15*MAX(0,5-expires)))*IF($A$68&lt;0.4, MAX(0.5, 1 - IF(lives&lt;=1,1.2,IF(lives=2,0.8,0.5))*(0.4 - $A$68)), 1)</f>
        <v>0</v>
      </c>
      <c r="D68">
        <f>IF(lives&gt;1,$A$68*reward*(1+MAX(0,5-expires)*0.1)*IF(lives&lt;=1, life_penalty_at_one, 1),IF(gold0&lt;potion_cost,$A$68*reward*(1+MAX(0,5-expires)*0.1)*IF(lives&lt;=1, life_penalty_at_one, 1)*$A$68,MAX(0, $A$68*reward*(1+MAX(0,5-expires)*0.1)*IF(lives&lt;=1, life_penalty_at_one, 1)*($A$68+(1-$A$68)*q_survive_on_fail) - (1-$A$68)*potion_cost*gamma)))</f>
        <v>0</v>
      </c>
      <c r="E68">
        <f>IF(lives&gt;1,$A$68*reward*(1+MAX(0,5-expires)*0.1)*IF(lives&lt;=1, life_penalty_at_one, 1),IF(gold1&lt;potion_cost,$A$68*reward*(1+MAX(0,5-expires)*0.1)*IF(lives&lt;=1, life_penalty_at_one, 1)*$A$68,MAX(0, $A$68*reward*(1+MAX(0,5-expires)*0.1)*IF(lives&lt;=1, life_penalty_at_one, 1)*($A$68+(1-$A$68)*q_survive_on_fail) - (1-$A$68)*potion_cost*gamma)))</f>
        <v>0</v>
      </c>
      <c r="F68">
        <f>IF(lives&gt;1,$A$68*reward*(1+MAX(0,5-expires)*0.1)*IF(lives&lt;=1, life_penalty_at_one, 1),IF(gold2&lt;potion_cost,$A$68*reward*(1+MAX(0,5-expires)*0.1)*IF(lives&lt;=1, life_penalty_at_one, 1)*$A$68,MAX(0, $A$68*reward*(1+MAX(0,5-expires)*0.1)*IF(lives&lt;=1, life_penalty_at_one, 1)*($A$68+(1-$A$68)*q_survive_on_fail) - (1-$A$68)*potion_cost*gamma)))</f>
        <v>0</v>
      </c>
      <c r="G68">
        <f>IF(lives&gt;1,$A$68*reward*(1+MAX(0,5-expires)*0.1)*IF(lives&lt;=1, life_penalty_at_one, 1),IF(gold3&lt;potion_cost,$A$68*reward*(1+MAX(0,5-expires)*0.1)*IF(lives&lt;=1, life_penalty_at_one, 1)*$A$68,MAX(0, $A$68*reward*(1+MAX(0,5-expires)*0.1)*IF(lives&lt;=1, life_penalty_at_one, 1)*($A$68+(1-$A$68)*q_survive_on_fail) - (1-$A$68)*potion_cost*gamma)))</f>
        <v>0</v>
      </c>
    </row>
    <row r="69" spans="1:7">
      <c r="A69">
        <v>0.6590909090909091</v>
      </c>
      <c r="B69">
        <f>$A$69*reward*(1+MAX(0,5-expires)*0.1)*IF(lives&lt;=1, life_penalty_at_one, 1)</f>
        <v>0</v>
      </c>
      <c r="C69">
        <f>($A$69^IF(lives&lt;=1,1.8,IF(lives=2,1.5,1.2)))*(MAX(0,reward)^0.85)*(1+MIN(0.5,0.15*MAX(0,5-expires)))*IF($A$69&lt;0.4, MAX(0.5, 1 - IF(lives&lt;=1,1.2,IF(lives=2,0.8,0.5))*(0.4 - $A$69)), 1)</f>
        <v>0</v>
      </c>
      <c r="D69">
        <f>IF(lives&gt;1,$A$69*reward*(1+MAX(0,5-expires)*0.1)*IF(lives&lt;=1, life_penalty_at_one, 1),IF(gold0&lt;potion_cost,$A$69*reward*(1+MAX(0,5-expires)*0.1)*IF(lives&lt;=1, life_penalty_at_one, 1)*$A$69,MAX(0, $A$69*reward*(1+MAX(0,5-expires)*0.1)*IF(lives&lt;=1, life_penalty_at_one, 1)*($A$69+(1-$A$69)*q_survive_on_fail) - (1-$A$69)*potion_cost*gamma)))</f>
        <v>0</v>
      </c>
      <c r="E69">
        <f>IF(lives&gt;1,$A$69*reward*(1+MAX(0,5-expires)*0.1)*IF(lives&lt;=1, life_penalty_at_one, 1),IF(gold1&lt;potion_cost,$A$69*reward*(1+MAX(0,5-expires)*0.1)*IF(lives&lt;=1, life_penalty_at_one, 1)*$A$69,MAX(0, $A$69*reward*(1+MAX(0,5-expires)*0.1)*IF(lives&lt;=1, life_penalty_at_one, 1)*($A$69+(1-$A$69)*q_survive_on_fail) - (1-$A$69)*potion_cost*gamma)))</f>
        <v>0</v>
      </c>
      <c r="F69">
        <f>IF(lives&gt;1,$A$69*reward*(1+MAX(0,5-expires)*0.1)*IF(lives&lt;=1, life_penalty_at_one, 1),IF(gold2&lt;potion_cost,$A$69*reward*(1+MAX(0,5-expires)*0.1)*IF(lives&lt;=1, life_penalty_at_one, 1)*$A$69,MAX(0, $A$69*reward*(1+MAX(0,5-expires)*0.1)*IF(lives&lt;=1, life_penalty_at_one, 1)*($A$69+(1-$A$69)*q_survive_on_fail) - (1-$A$69)*potion_cost*gamma)))</f>
        <v>0</v>
      </c>
      <c r="G69">
        <f>IF(lives&gt;1,$A$69*reward*(1+MAX(0,5-expires)*0.1)*IF(lives&lt;=1, life_penalty_at_one, 1),IF(gold3&lt;potion_cost,$A$69*reward*(1+MAX(0,5-expires)*0.1)*IF(lives&lt;=1, life_penalty_at_one, 1)*$A$69,MAX(0, $A$69*reward*(1+MAX(0,5-expires)*0.1)*IF(lives&lt;=1, life_penalty_at_one, 1)*($A$69+(1-$A$69)*q_survive_on_fail) - (1-$A$69)*potion_cost*gamma)))</f>
        <v>0</v>
      </c>
    </row>
    <row r="70" spans="1:7">
      <c r="A70">
        <v>0.6681818181818182</v>
      </c>
      <c r="B70">
        <f>$A$70*reward*(1+MAX(0,5-expires)*0.1)*IF(lives&lt;=1, life_penalty_at_one, 1)</f>
        <v>0</v>
      </c>
      <c r="C70">
        <f>($A$70^IF(lives&lt;=1,1.8,IF(lives=2,1.5,1.2)))*(MAX(0,reward)^0.85)*(1+MIN(0.5,0.15*MAX(0,5-expires)))*IF($A$70&lt;0.4, MAX(0.5, 1 - IF(lives&lt;=1,1.2,IF(lives=2,0.8,0.5))*(0.4 - $A$70)), 1)</f>
        <v>0</v>
      </c>
      <c r="D70">
        <f>IF(lives&gt;1,$A$70*reward*(1+MAX(0,5-expires)*0.1)*IF(lives&lt;=1, life_penalty_at_one, 1),IF(gold0&lt;potion_cost,$A$70*reward*(1+MAX(0,5-expires)*0.1)*IF(lives&lt;=1, life_penalty_at_one, 1)*$A$70,MAX(0, $A$70*reward*(1+MAX(0,5-expires)*0.1)*IF(lives&lt;=1, life_penalty_at_one, 1)*($A$70+(1-$A$70)*q_survive_on_fail) - (1-$A$70)*potion_cost*gamma)))</f>
        <v>0</v>
      </c>
      <c r="E70">
        <f>IF(lives&gt;1,$A$70*reward*(1+MAX(0,5-expires)*0.1)*IF(lives&lt;=1, life_penalty_at_one, 1),IF(gold1&lt;potion_cost,$A$70*reward*(1+MAX(0,5-expires)*0.1)*IF(lives&lt;=1, life_penalty_at_one, 1)*$A$70,MAX(0, $A$70*reward*(1+MAX(0,5-expires)*0.1)*IF(lives&lt;=1, life_penalty_at_one, 1)*($A$70+(1-$A$70)*q_survive_on_fail) - (1-$A$70)*potion_cost*gamma)))</f>
        <v>0</v>
      </c>
      <c r="F70">
        <f>IF(lives&gt;1,$A$70*reward*(1+MAX(0,5-expires)*0.1)*IF(lives&lt;=1, life_penalty_at_one, 1),IF(gold2&lt;potion_cost,$A$70*reward*(1+MAX(0,5-expires)*0.1)*IF(lives&lt;=1, life_penalty_at_one, 1)*$A$70,MAX(0, $A$70*reward*(1+MAX(0,5-expires)*0.1)*IF(lives&lt;=1, life_penalty_at_one, 1)*($A$70+(1-$A$70)*q_survive_on_fail) - (1-$A$70)*potion_cost*gamma)))</f>
        <v>0</v>
      </c>
      <c r="G70">
        <f>IF(lives&gt;1,$A$70*reward*(1+MAX(0,5-expires)*0.1)*IF(lives&lt;=1, life_penalty_at_one, 1),IF(gold3&lt;potion_cost,$A$70*reward*(1+MAX(0,5-expires)*0.1)*IF(lives&lt;=1, life_penalty_at_one, 1)*$A$70,MAX(0, $A$70*reward*(1+MAX(0,5-expires)*0.1)*IF(lives&lt;=1, life_penalty_at_one, 1)*($A$70+(1-$A$70)*q_survive_on_fail) - (1-$A$70)*potion_cost*gamma)))</f>
        <v>0</v>
      </c>
    </row>
    <row r="71" spans="1:7">
      <c r="A71">
        <v>0.6772727272727272</v>
      </c>
      <c r="B71">
        <f>$A$71*reward*(1+MAX(0,5-expires)*0.1)*IF(lives&lt;=1, life_penalty_at_one, 1)</f>
        <v>0</v>
      </c>
      <c r="C71">
        <f>($A$71^IF(lives&lt;=1,1.8,IF(lives=2,1.5,1.2)))*(MAX(0,reward)^0.85)*(1+MIN(0.5,0.15*MAX(0,5-expires)))*IF($A$71&lt;0.4, MAX(0.5, 1 - IF(lives&lt;=1,1.2,IF(lives=2,0.8,0.5))*(0.4 - $A$71)), 1)</f>
        <v>0</v>
      </c>
      <c r="D71">
        <f>IF(lives&gt;1,$A$71*reward*(1+MAX(0,5-expires)*0.1)*IF(lives&lt;=1, life_penalty_at_one, 1),IF(gold0&lt;potion_cost,$A$71*reward*(1+MAX(0,5-expires)*0.1)*IF(lives&lt;=1, life_penalty_at_one, 1)*$A$71,MAX(0, $A$71*reward*(1+MAX(0,5-expires)*0.1)*IF(lives&lt;=1, life_penalty_at_one, 1)*($A$71+(1-$A$71)*q_survive_on_fail) - (1-$A$71)*potion_cost*gamma)))</f>
        <v>0</v>
      </c>
      <c r="E71">
        <f>IF(lives&gt;1,$A$71*reward*(1+MAX(0,5-expires)*0.1)*IF(lives&lt;=1, life_penalty_at_one, 1),IF(gold1&lt;potion_cost,$A$71*reward*(1+MAX(0,5-expires)*0.1)*IF(lives&lt;=1, life_penalty_at_one, 1)*$A$71,MAX(0, $A$71*reward*(1+MAX(0,5-expires)*0.1)*IF(lives&lt;=1, life_penalty_at_one, 1)*($A$71+(1-$A$71)*q_survive_on_fail) - (1-$A$71)*potion_cost*gamma)))</f>
        <v>0</v>
      </c>
      <c r="F71">
        <f>IF(lives&gt;1,$A$71*reward*(1+MAX(0,5-expires)*0.1)*IF(lives&lt;=1, life_penalty_at_one, 1),IF(gold2&lt;potion_cost,$A$71*reward*(1+MAX(0,5-expires)*0.1)*IF(lives&lt;=1, life_penalty_at_one, 1)*$A$71,MAX(0, $A$71*reward*(1+MAX(0,5-expires)*0.1)*IF(lives&lt;=1, life_penalty_at_one, 1)*($A$71+(1-$A$71)*q_survive_on_fail) - (1-$A$71)*potion_cost*gamma)))</f>
        <v>0</v>
      </c>
      <c r="G71">
        <f>IF(lives&gt;1,$A$71*reward*(1+MAX(0,5-expires)*0.1)*IF(lives&lt;=1, life_penalty_at_one, 1),IF(gold3&lt;potion_cost,$A$71*reward*(1+MAX(0,5-expires)*0.1)*IF(lives&lt;=1, life_penalty_at_one, 1)*$A$71,MAX(0, $A$71*reward*(1+MAX(0,5-expires)*0.1)*IF(lives&lt;=1, life_penalty_at_one, 1)*($A$71+(1-$A$71)*q_survive_on_fail) - (1-$A$71)*potion_cost*gamma)))</f>
        <v>0</v>
      </c>
    </row>
    <row r="72" spans="1:7">
      <c r="A72">
        <v>0.6863636363636364</v>
      </c>
      <c r="B72">
        <f>$A$72*reward*(1+MAX(0,5-expires)*0.1)*IF(lives&lt;=1, life_penalty_at_one, 1)</f>
        <v>0</v>
      </c>
      <c r="C72">
        <f>($A$72^IF(lives&lt;=1,1.8,IF(lives=2,1.5,1.2)))*(MAX(0,reward)^0.85)*(1+MIN(0.5,0.15*MAX(0,5-expires)))*IF($A$72&lt;0.4, MAX(0.5, 1 - IF(lives&lt;=1,1.2,IF(lives=2,0.8,0.5))*(0.4 - $A$72)), 1)</f>
        <v>0</v>
      </c>
      <c r="D72">
        <f>IF(lives&gt;1,$A$72*reward*(1+MAX(0,5-expires)*0.1)*IF(lives&lt;=1, life_penalty_at_one, 1),IF(gold0&lt;potion_cost,$A$72*reward*(1+MAX(0,5-expires)*0.1)*IF(lives&lt;=1, life_penalty_at_one, 1)*$A$72,MAX(0, $A$72*reward*(1+MAX(0,5-expires)*0.1)*IF(lives&lt;=1, life_penalty_at_one, 1)*($A$72+(1-$A$72)*q_survive_on_fail) - (1-$A$72)*potion_cost*gamma)))</f>
        <v>0</v>
      </c>
      <c r="E72">
        <f>IF(lives&gt;1,$A$72*reward*(1+MAX(0,5-expires)*0.1)*IF(lives&lt;=1, life_penalty_at_one, 1),IF(gold1&lt;potion_cost,$A$72*reward*(1+MAX(0,5-expires)*0.1)*IF(lives&lt;=1, life_penalty_at_one, 1)*$A$72,MAX(0, $A$72*reward*(1+MAX(0,5-expires)*0.1)*IF(lives&lt;=1, life_penalty_at_one, 1)*($A$72+(1-$A$72)*q_survive_on_fail) - (1-$A$72)*potion_cost*gamma)))</f>
        <v>0</v>
      </c>
      <c r="F72">
        <f>IF(lives&gt;1,$A$72*reward*(1+MAX(0,5-expires)*0.1)*IF(lives&lt;=1, life_penalty_at_one, 1),IF(gold2&lt;potion_cost,$A$72*reward*(1+MAX(0,5-expires)*0.1)*IF(lives&lt;=1, life_penalty_at_one, 1)*$A$72,MAX(0, $A$72*reward*(1+MAX(0,5-expires)*0.1)*IF(lives&lt;=1, life_penalty_at_one, 1)*($A$72+(1-$A$72)*q_survive_on_fail) - (1-$A$72)*potion_cost*gamma)))</f>
        <v>0</v>
      </c>
      <c r="G72">
        <f>IF(lives&gt;1,$A$72*reward*(1+MAX(0,5-expires)*0.1)*IF(lives&lt;=1, life_penalty_at_one, 1),IF(gold3&lt;potion_cost,$A$72*reward*(1+MAX(0,5-expires)*0.1)*IF(lives&lt;=1, life_penalty_at_one, 1)*$A$72,MAX(0, $A$72*reward*(1+MAX(0,5-expires)*0.1)*IF(lives&lt;=1, life_penalty_at_one, 1)*($A$72+(1-$A$72)*q_survive_on_fail) - (1-$A$72)*potion_cost*gamma)))</f>
        <v>0</v>
      </c>
    </row>
    <row r="73" spans="1:7">
      <c r="A73">
        <v>0.6954545454545454</v>
      </c>
      <c r="B73">
        <f>$A$73*reward*(1+MAX(0,5-expires)*0.1)*IF(lives&lt;=1, life_penalty_at_one, 1)</f>
        <v>0</v>
      </c>
      <c r="C73">
        <f>($A$73^IF(lives&lt;=1,1.8,IF(lives=2,1.5,1.2)))*(MAX(0,reward)^0.85)*(1+MIN(0.5,0.15*MAX(0,5-expires)))*IF($A$73&lt;0.4, MAX(0.5, 1 - IF(lives&lt;=1,1.2,IF(lives=2,0.8,0.5))*(0.4 - $A$73)), 1)</f>
        <v>0</v>
      </c>
      <c r="D73">
        <f>IF(lives&gt;1,$A$73*reward*(1+MAX(0,5-expires)*0.1)*IF(lives&lt;=1, life_penalty_at_one, 1),IF(gold0&lt;potion_cost,$A$73*reward*(1+MAX(0,5-expires)*0.1)*IF(lives&lt;=1, life_penalty_at_one, 1)*$A$73,MAX(0, $A$73*reward*(1+MAX(0,5-expires)*0.1)*IF(lives&lt;=1, life_penalty_at_one, 1)*($A$73+(1-$A$73)*q_survive_on_fail) - (1-$A$73)*potion_cost*gamma)))</f>
        <v>0</v>
      </c>
      <c r="E73">
        <f>IF(lives&gt;1,$A$73*reward*(1+MAX(0,5-expires)*0.1)*IF(lives&lt;=1, life_penalty_at_one, 1),IF(gold1&lt;potion_cost,$A$73*reward*(1+MAX(0,5-expires)*0.1)*IF(lives&lt;=1, life_penalty_at_one, 1)*$A$73,MAX(0, $A$73*reward*(1+MAX(0,5-expires)*0.1)*IF(lives&lt;=1, life_penalty_at_one, 1)*($A$73+(1-$A$73)*q_survive_on_fail) - (1-$A$73)*potion_cost*gamma)))</f>
        <v>0</v>
      </c>
      <c r="F73">
        <f>IF(lives&gt;1,$A$73*reward*(1+MAX(0,5-expires)*0.1)*IF(lives&lt;=1, life_penalty_at_one, 1),IF(gold2&lt;potion_cost,$A$73*reward*(1+MAX(0,5-expires)*0.1)*IF(lives&lt;=1, life_penalty_at_one, 1)*$A$73,MAX(0, $A$73*reward*(1+MAX(0,5-expires)*0.1)*IF(lives&lt;=1, life_penalty_at_one, 1)*($A$73+(1-$A$73)*q_survive_on_fail) - (1-$A$73)*potion_cost*gamma)))</f>
        <v>0</v>
      </c>
      <c r="G73">
        <f>IF(lives&gt;1,$A$73*reward*(1+MAX(0,5-expires)*0.1)*IF(lives&lt;=1, life_penalty_at_one, 1),IF(gold3&lt;potion_cost,$A$73*reward*(1+MAX(0,5-expires)*0.1)*IF(lives&lt;=1, life_penalty_at_one, 1)*$A$73,MAX(0, $A$73*reward*(1+MAX(0,5-expires)*0.1)*IF(lives&lt;=1, life_penalty_at_one, 1)*($A$73+(1-$A$73)*q_survive_on_fail) - (1-$A$73)*potion_cost*gamma)))</f>
        <v>0</v>
      </c>
    </row>
    <row r="74" spans="1:7">
      <c r="A74">
        <v>0.7045454545454546</v>
      </c>
      <c r="B74">
        <f>$A$74*reward*(1+MAX(0,5-expires)*0.1)*IF(lives&lt;=1, life_penalty_at_one, 1)</f>
        <v>0</v>
      </c>
      <c r="C74">
        <f>($A$74^IF(lives&lt;=1,1.8,IF(lives=2,1.5,1.2)))*(MAX(0,reward)^0.85)*(1+MIN(0.5,0.15*MAX(0,5-expires)))*IF($A$74&lt;0.4, MAX(0.5, 1 - IF(lives&lt;=1,1.2,IF(lives=2,0.8,0.5))*(0.4 - $A$74)), 1)</f>
        <v>0</v>
      </c>
      <c r="D74">
        <f>IF(lives&gt;1,$A$74*reward*(1+MAX(0,5-expires)*0.1)*IF(lives&lt;=1, life_penalty_at_one, 1),IF(gold0&lt;potion_cost,$A$74*reward*(1+MAX(0,5-expires)*0.1)*IF(lives&lt;=1, life_penalty_at_one, 1)*$A$74,MAX(0, $A$74*reward*(1+MAX(0,5-expires)*0.1)*IF(lives&lt;=1, life_penalty_at_one, 1)*($A$74+(1-$A$74)*q_survive_on_fail) - (1-$A$74)*potion_cost*gamma)))</f>
        <v>0</v>
      </c>
      <c r="E74">
        <f>IF(lives&gt;1,$A$74*reward*(1+MAX(0,5-expires)*0.1)*IF(lives&lt;=1, life_penalty_at_one, 1),IF(gold1&lt;potion_cost,$A$74*reward*(1+MAX(0,5-expires)*0.1)*IF(lives&lt;=1, life_penalty_at_one, 1)*$A$74,MAX(0, $A$74*reward*(1+MAX(0,5-expires)*0.1)*IF(lives&lt;=1, life_penalty_at_one, 1)*($A$74+(1-$A$74)*q_survive_on_fail) - (1-$A$74)*potion_cost*gamma)))</f>
        <v>0</v>
      </c>
      <c r="F74">
        <f>IF(lives&gt;1,$A$74*reward*(1+MAX(0,5-expires)*0.1)*IF(lives&lt;=1, life_penalty_at_one, 1),IF(gold2&lt;potion_cost,$A$74*reward*(1+MAX(0,5-expires)*0.1)*IF(lives&lt;=1, life_penalty_at_one, 1)*$A$74,MAX(0, $A$74*reward*(1+MAX(0,5-expires)*0.1)*IF(lives&lt;=1, life_penalty_at_one, 1)*($A$74+(1-$A$74)*q_survive_on_fail) - (1-$A$74)*potion_cost*gamma)))</f>
        <v>0</v>
      </c>
      <c r="G74">
        <f>IF(lives&gt;1,$A$74*reward*(1+MAX(0,5-expires)*0.1)*IF(lives&lt;=1, life_penalty_at_one, 1),IF(gold3&lt;potion_cost,$A$74*reward*(1+MAX(0,5-expires)*0.1)*IF(lives&lt;=1, life_penalty_at_one, 1)*$A$74,MAX(0, $A$74*reward*(1+MAX(0,5-expires)*0.1)*IF(lives&lt;=1, life_penalty_at_one, 1)*($A$74+(1-$A$74)*q_survive_on_fail) - (1-$A$74)*potion_cost*gamma)))</f>
        <v>0</v>
      </c>
    </row>
    <row r="75" spans="1:7">
      <c r="A75">
        <v>0.7136363636363636</v>
      </c>
      <c r="B75">
        <f>$A$75*reward*(1+MAX(0,5-expires)*0.1)*IF(lives&lt;=1, life_penalty_at_one, 1)</f>
        <v>0</v>
      </c>
      <c r="C75">
        <f>($A$75^IF(lives&lt;=1,1.8,IF(lives=2,1.5,1.2)))*(MAX(0,reward)^0.85)*(1+MIN(0.5,0.15*MAX(0,5-expires)))*IF($A$75&lt;0.4, MAX(0.5, 1 - IF(lives&lt;=1,1.2,IF(lives=2,0.8,0.5))*(0.4 - $A$75)), 1)</f>
        <v>0</v>
      </c>
      <c r="D75">
        <f>IF(lives&gt;1,$A$75*reward*(1+MAX(0,5-expires)*0.1)*IF(lives&lt;=1, life_penalty_at_one, 1),IF(gold0&lt;potion_cost,$A$75*reward*(1+MAX(0,5-expires)*0.1)*IF(lives&lt;=1, life_penalty_at_one, 1)*$A$75,MAX(0, $A$75*reward*(1+MAX(0,5-expires)*0.1)*IF(lives&lt;=1, life_penalty_at_one, 1)*($A$75+(1-$A$75)*q_survive_on_fail) - (1-$A$75)*potion_cost*gamma)))</f>
        <v>0</v>
      </c>
      <c r="E75">
        <f>IF(lives&gt;1,$A$75*reward*(1+MAX(0,5-expires)*0.1)*IF(lives&lt;=1, life_penalty_at_one, 1),IF(gold1&lt;potion_cost,$A$75*reward*(1+MAX(0,5-expires)*0.1)*IF(lives&lt;=1, life_penalty_at_one, 1)*$A$75,MAX(0, $A$75*reward*(1+MAX(0,5-expires)*0.1)*IF(lives&lt;=1, life_penalty_at_one, 1)*($A$75+(1-$A$75)*q_survive_on_fail) - (1-$A$75)*potion_cost*gamma)))</f>
        <v>0</v>
      </c>
      <c r="F75">
        <f>IF(lives&gt;1,$A$75*reward*(1+MAX(0,5-expires)*0.1)*IF(lives&lt;=1, life_penalty_at_one, 1),IF(gold2&lt;potion_cost,$A$75*reward*(1+MAX(0,5-expires)*0.1)*IF(lives&lt;=1, life_penalty_at_one, 1)*$A$75,MAX(0, $A$75*reward*(1+MAX(0,5-expires)*0.1)*IF(lives&lt;=1, life_penalty_at_one, 1)*($A$75+(1-$A$75)*q_survive_on_fail) - (1-$A$75)*potion_cost*gamma)))</f>
        <v>0</v>
      </c>
      <c r="G75">
        <f>IF(lives&gt;1,$A$75*reward*(1+MAX(0,5-expires)*0.1)*IF(lives&lt;=1, life_penalty_at_one, 1),IF(gold3&lt;potion_cost,$A$75*reward*(1+MAX(0,5-expires)*0.1)*IF(lives&lt;=1, life_penalty_at_one, 1)*$A$75,MAX(0, $A$75*reward*(1+MAX(0,5-expires)*0.1)*IF(lives&lt;=1, life_penalty_at_one, 1)*($A$75+(1-$A$75)*q_survive_on_fail) - (1-$A$75)*potion_cost*gamma)))</f>
        <v>0</v>
      </c>
    </row>
    <row r="76" spans="1:7">
      <c r="A76">
        <v>0.7227272727272728</v>
      </c>
      <c r="B76">
        <f>$A$76*reward*(1+MAX(0,5-expires)*0.1)*IF(lives&lt;=1, life_penalty_at_one, 1)</f>
        <v>0</v>
      </c>
      <c r="C76">
        <f>($A$76^IF(lives&lt;=1,1.8,IF(lives=2,1.5,1.2)))*(MAX(0,reward)^0.85)*(1+MIN(0.5,0.15*MAX(0,5-expires)))*IF($A$76&lt;0.4, MAX(0.5, 1 - IF(lives&lt;=1,1.2,IF(lives=2,0.8,0.5))*(0.4 - $A$76)), 1)</f>
        <v>0</v>
      </c>
      <c r="D76">
        <f>IF(lives&gt;1,$A$76*reward*(1+MAX(0,5-expires)*0.1)*IF(lives&lt;=1, life_penalty_at_one, 1),IF(gold0&lt;potion_cost,$A$76*reward*(1+MAX(0,5-expires)*0.1)*IF(lives&lt;=1, life_penalty_at_one, 1)*$A$76,MAX(0, $A$76*reward*(1+MAX(0,5-expires)*0.1)*IF(lives&lt;=1, life_penalty_at_one, 1)*($A$76+(1-$A$76)*q_survive_on_fail) - (1-$A$76)*potion_cost*gamma)))</f>
        <v>0</v>
      </c>
      <c r="E76">
        <f>IF(lives&gt;1,$A$76*reward*(1+MAX(0,5-expires)*0.1)*IF(lives&lt;=1, life_penalty_at_one, 1),IF(gold1&lt;potion_cost,$A$76*reward*(1+MAX(0,5-expires)*0.1)*IF(lives&lt;=1, life_penalty_at_one, 1)*$A$76,MAX(0, $A$76*reward*(1+MAX(0,5-expires)*0.1)*IF(lives&lt;=1, life_penalty_at_one, 1)*($A$76+(1-$A$76)*q_survive_on_fail) - (1-$A$76)*potion_cost*gamma)))</f>
        <v>0</v>
      </c>
      <c r="F76">
        <f>IF(lives&gt;1,$A$76*reward*(1+MAX(0,5-expires)*0.1)*IF(lives&lt;=1, life_penalty_at_one, 1),IF(gold2&lt;potion_cost,$A$76*reward*(1+MAX(0,5-expires)*0.1)*IF(lives&lt;=1, life_penalty_at_one, 1)*$A$76,MAX(0, $A$76*reward*(1+MAX(0,5-expires)*0.1)*IF(lives&lt;=1, life_penalty_at_one, 1)*($A$76+(1-$A$76)*q_survive_on_fail) - (1-$A$76)*potion_cost*gamma)))</f>
        <v>0</v>
      </c>
      <c r="G76">
        <f>IF(lives&gt;1,$A$76*reward*(1+MAX(0,5-expires)*0.1)*IF(lives&lt;=1, life_penalty_at_one, 1),IF(gold3&lt;potion_cost,$A$76*reward*(1+MAX(0,5-expires)*0.1)*IF(lives&lt;=1, life_penalty_at_one, 1)*$A$76,MAX(0, $A$76*reward*(1+MAX(0,5-expires)*0.1)*IF(lives&lt;=1, life_penalty_at_one, 1)*($A$76+(1-$A$76)*q_survive_on_fail) - (1-$A$76)*potion_cost*gamma)))</f>
        <v>0</v>
      </c>
    </row>
    <row r="77" spans="1:7">
      <c r="A77">
        <v>0.7318181818181818</v>
      </c>
      <c r="B77">
        <f>$A$77*reward*(1+MAX(0,5-expires)*0.1)*IF(lives&lt;=1, life_penalty_at_one, 1)</f>
        <v>0</v>
      </c>
      <c r="C77">
        <f>($A$77^IF(lives&lt;=1,1.8,IF(lives=2,1.5,1.2)))*(MAX(0,reward)^0.85)*(1+MIN(0.5,0.15*MAX(0,5-expires)))*IF($A$77&lt;0.4, MAX(0.5, 1 - IF(lives&lt;=1,1.2,IF(lives=2,0.8,0.5))*(0.4 - $A$77)), 1)</f>
        <v>0</v>
      </c>
      <c r="D77">
        <f>IF(lives&gt;1,$A$77*reward*(1+MAX(0,5-expires)*0.1)*IF(lives&lt;=1, life_penalty_at_one, 1),IF(gold0&lt;potion_cost,$A$77*reward*(1+MAX(0,5-expires)*0.1)*IF(lives&lt;=1, life_penalty_at_one, 1)*$A$77,MAX(0, $A$77*reward*(1+MAX(0,5-expires)*0.1)*IF(lives&lt;=1, life_penalty_at_one, 1)*($A$77+(1-$A$77)*q_survive_on_fail) - (1-$A$77)*potion_cost*gamma)))</f>
        <v>0</v>
      </c>
      <c r="E77">
        <f>IF(lives&gt;1,$A$77*reward*(1+MAX(0,5-expires)*0.1)*IF(lives&lt;=1, life_penalty_at_one, 1),IF(gold1&lt;potion_cost,$A$77*reward*(1+MAX(0,5-expires)*0.1)*IF(lives&lt;=1, life_penalty_at_one, 1)*$A$77,MAX(0, $A$77*reward*(1+MAX(0,5-expires)*0.1)*IF(lives&lt;=1, life_penalty_at_one, 1)*($A$77+(1-$A$77)*q_survive_on_fail) - (1-$A$77)*potion_cost*gamma)))</f>
        <v>0</v>
      </c>
      <c r="F77">
        <f>IF(lives&gt;1,$A$77*reward*(1+MAX(0,5-expires)*0.1)*IF(lives&lt;=1, life_penalty_at_one, 1),IF(gold2&lt;potion_cost,$A$77*reward*(1+MAX(0,5-expires)*0.1)*IF(lives&lt;=1, life_penalty_at_one, 1)*$A$77,MAX(0, $A$77*reward*(1+MAX(0,5-expires)*0.1)*IF(lives&lt;=1, life_penalty_at_one, 1)*($A$77+(1-$A$77)*q_survive_on_fail) - (1-$A$77)*potion_cost*gamma)))</f>
        <v>0</v>
      </c>
      <c r="G77">
        <f>IF(lives&gt;1,$A$77*reward*(1+MAX(0,5-expires)*0.1)*IF(lives&lt;=1, life_penalty_at_one, 1),IF(gold3&lt;potion_cost,$A$77*reward*(1+MAX(0,5-expires)*0.1)*IF(lives&lt;=1, life_penalty_at_one, 1)*$A$77,MAX(0, $A$77*reward*(1+MAX(0,5-expires)*0.1)*IF(lives&lt;=1, life_penalty_at_one, 1)*($A$77+(1-$A$77)*q_survive_on_fail) - (1-$A$77)*potion_cost*gamma)))</f>
        <v>0</v>
      </c>
    </row>
    <row r="78" spans="1:7">
      <c r="A78">
        <v>0.740909090909091</v>
      </c>
      <c r="B78">
        <f>$A$78*reward*(1+MAX(0,5-expires)*0.1)*IF(lives&lt;=1, life_penalty_at_one, 1)</f>
        <v>0</v>
      </c>
      <c r="C78">
        <f>($A$78^IF(lives&lt;=1,1.8,IF(lives=2,1.5,1.2)))*(MAX(0,reward)^0.85)*(1+MIN(0.5,0.15*MAX(0,5-expires)))*IF($A$78&lt;0.4, MAX(0.5, 1 - IF(lives&lt;=1,1.2,IF(lives=2,0.8,0.5))*(0.4 - $A$78)), 1)</f>
        <v>0</v>
      </c>
      <c r="D78">
        <f>IF(lives&gt;1,$A$78*reward*(1+MAX(0,5-expires)*0.1)*IF(lives&lt;=1, life_penalty_at_one, 1),IF(gold0&lt;potion_cost,$A$78*reward*(1+MAX(0,5-expires)*0.1)*IF(lives&lt;=1, life_penalty_at_one, 1)*$A$78,MAX(0, $A$78*reward*(1+MAX(0,5-expires)*0.1)*IF(lives&lt;=1, life_penalty_at_one, 1)*($A$78+(1-$A$78)*q_survive_on_fail) - (1-$A$78)*potion_cost*gamma)))</f>
        <v>0</v>
      </c>
      <c r="E78">
        <f>IF(lives&gt;1,$A$78*reward*(1+MAX(0,5-expires)*0.1)*IF(lives&lt;=1, life_penalty_at_one, 1),IF(gold1&lt;potion_cost,$A$78*reward*(1+MAX(0,5-expires)*0.1)*IF(lives&lt;=1, life_penalty_at_one, 1)*$A$78,MAX(0, $A$78*reward*(1+MAX(0,5-expires)*0.1)*IF(lives&lt;=1, life_penalty_at_one, 1)*($A$78+(1-$A$78)*q_survive_on_fail) - (1-$A$78)*potion_cost*gamma)))</f>
        <v>0</v>
      </c>
      <c r="F78">
        <f>IF(lives&gt;1,$A$78*reward*(1+MAX(0,5-expires)*0.1)*IF(lives&lt;=1, life_penalty_at_one, 1),IF(gold2&lt;potion_cost,$A$78*reward*(1+MAX(0,5-expires)*0.1)*IF(lives&lt;=1, life_penalty_at_one, 1)*$A$78,MAX(0, $A$78*reward*(1+MAX(0,5-expires)*0.1)*IF(lives&lt;=1, life_penalty_at_one, 1)*($A$78+(1-$A$78)*q_survive_on_fail) - (1-$A$78)*potion_cost*gamma)))</f>
        <v>0</v>
      </c>
      <c r="G78">
        <f>IF(lives&gt;1,$A$78*reward*(1+MAX(0,5-expires)*0.1)*IF(lives&lt;=1, life_penalty_at_one, 1),IF(gold3&lt;potion_cost,$A$78*reward*(1+MAX(0,5-expires)*0.1)*IF(lives&lt;=1, life_penalty_at_one, 1)*$A$78,MAX(0, $A$78*reward*(1+MAX(0,5-expires)*0.1)*IF(lives&lt;=1, life_penalty_at_one, 1)*($A$78+(1-$A$78)*q_survive_on_fail) - (1-$A$78)*potion_cost*gamma)))</f>
        <v>0</v>
      </c>
    </row>
    <row r="79" spans="1:7">
      <c r="A79">
        <v>0.75</v>
      </c>
      <c r="B79">
        <f>$A$79*reward*(1+MAX(0,5-expires)*0.1)*IF(lives&lt;=1, life_penalty_at_one, 1)</f>
        <v>0</v>
      </c>
      <c r="C79">
        <f>($A$79^IF(lives&lt;=1,1.8,IF(lives=2,1.5,1.2)))*(MAX(0,reward)^0.85)*(1+MIN(0.5,0.15*MAX(0,5-expires)))*IF($A$79&lt;0.4, MAX(0.5, 1 - IF(lives&lt;=1,1.2,IF(lives=2,0.8,0.5))*(0.4 - $A$79)), 1)</f>
        <v>0</v>
      </c>
      <c r="D79">
        <f>IF(lives&gt;1,$A$79*reward*(1+MAX(0,5-expires)*0.1)*IF(lives&lt;=1, life_penalty_at_one, 1),IF(gold0&lt;potion_cost,$A$79*reward*(1+MAX(0,5-expires)*0.1)*IF(lives&lt;=1, life_penalty_at_one, 1)*$A$79,MAX(0, $A$79*reward*(1+MAX(0,5-expires)*0.1)*IF(lives&lt;=1, life_penalty_at_one, 1)*($A$79+(1-$A$79)*q_survive_on_fail) - (1-$A$79)*potion_cost*gamma)))</f>
        <v>0</v>
      </c>
      <c r="E79">
        <f>IF(lives&gt;1,$A$79*reward*(1+MAX(0,5-expires)*0.1)*IF(lives&lt;=1, life_penalty_at_one, 1),IF(gold1&lt;potion_cost,$A$79*reward*(1+MAX(0,5-expires)*0.1)*IF(lives&lt;=1, life_penalty_at_one, 1)*$A$79,MAX(0, $A$79*reward*(1+MAX(0,5-expires)*0.1)*IF(lives&lt;=1, life_penalty_at_one, 1)*($A$79+(1-$A$79)*q_survive_on_fail) - (1-$A$79)*potion_cost*gamma)))</f>
        <v>0</v>
      </c>
      <c r="F79">
        <f>IF(lives&gt;1,$A$79*reward*(1+MAX(0,5-expires)*0.1)*IF(lives&lt;=1, life_penalty_at_one, 1),IF(gold2&lt;potion_cost,$A$79*reward*(1+MAX(0,5-expires)*0.1)*IF(lives&lt;=1, life_penalty_at_one, 1)*$A$79,MAX(0, $A$79*reward*(1+MAX(0,5-expires)*0.1)*IF(lives&lt;=1, life_penalty_at_one, 1)*($A$79+(1-$A$79)*q_survive_on_fail) - (1-$A$79)*potion_cost*gamma)))</f>
        <v>0</v>
      </c>
      <c r="G79">
        <f>IF(lives&gt;1,$A$79*reward*(1+MAX(0,5-expires)*0.1)*IF(lives&lt;=1, life_penalty_at_one, 1),IF(gold3&lt;potion_cost,$A$79*reward*(1+MAX(0,5-expires)*0.1)*IF(lives&lt;=1, life_penalty_at_one, 1)*$A$79,MAX(0, $A$79*reward*(1+MAX(0,5-expires)*0.1)*IF(lives&lt;=1, life_penalty_at_one, 1)*($A$79+(1-$A$79)*q_survive_on_fail) - (1-$A$79)*potion_cost*gamma)))</f>
        <v>0</v>
      </c>
    </row>
    <row r="80" spans="1:7">
      <c r="A80">
        <v>0.7590909090909091</v>
      </c>
      <c r="B80">
        <f>$A$80*reward*(1+MAX(0,5-expires)*0.1)*IF(lives&lt;=1, life_penalty_at_one, 1)</f>
        <v>0</v>
      </c>
      <c r="C80">
        <f>($A$80^IF(lives&lt;=1,1.8,IF(lives=2,1.5,1.2)))*(MAX(0,reward)^0.85)*(1+MIN(0.5,0.15*MAX(0,5-expires)))*IF($A$80&lt;0.4, MAX(0.5, 1 - IF(lives&lt;=1,1.2,IF(lives=2,0.8,0.5))*(0.4 - $A$80)), 1)</f>
        <v>0</v>
      </c>
      <c r="D80">
        <f>IF(lives&gt;1,$A$80*reward*(1+MAX(0,5-expires)*0.1)*IF(lives&lt;=1, life_penalty_at_one, 1),IF(gold0&lt;potion_cost,$A$80*reward*(1+MAX(0,5-expires)*0.1)*IF(lives&lt;=1, life_penalty_at_one, 1)*$A$80,MAX(0, $A$80*reward*(1+MAX(0,5-expires)*0.1)*IF(lives&lt;=1, life_penalty_at_one, 1)*($A$80+(1-$A$80)*q_survive_on_fail) - (1-$A$80)*potion_cost*gamma)))</f>
        <v>0</v>
      </c>
      <c r="E80">
        <f>IF(lives&gt;1,$A$80*reward*(1+MAX(0,5-expires)*0.1)*IF(lives&lt;=1, life_penalty_at_one, 1),IF(gold1&lt;potion_cost,$A$80*reward*(1+MAX(0,5-expires)*0.1)*IF(lives&lt;=1, life_penalty_at_one, 1)*$A$80,MAX(0, $A$80*reward*(1+MAX(0,5-expires)*0.1)*IF(lives&lt;=1, life_penalty_at_one, 1)*($A$80+(1-$A$80)*q_survive_on_fail) - (1-$A$80)*potion_cost*gamma)))</f>
        <v>0</v>
      </c>
      <c r="F80">
        <f>IF(lives&gt;1,$A$80*reward*(1+MAX(0,5-expires)*0.1)*IF(lives&lt;=1, life_penalty_at_one, 1),IF(gold2&lt;potion_cost,$A$80*reward*(1+MAX(0,5-expires)*0.1)*IF(lives&lt;=1, life_penalty_at_one, 1)*$A$80,MAX(0, $A$80*reward*(1+MAX(0,5-expires)*0.1)*IF(lives&lt;=1, life_penalty_at_one, 1)*($A$80+(1-$A$80)*q_survive_on_fail) - (1-$A$80)*potion_cost*gamma)))</f>
        <v>0</v>
      </c>
      <c r="G80">
        <f>IF(lives&gt;1,$A$80*reward*(1+MAX(0,5-expires)*0.1)*IF(lives&lt;=1, life_penalty_at_one, 1),IF(gold3&lt;potion_cost,$A$80*reward*(1+MAX(0,5-expires)*0.1)*IF(lives&lt;=1, life_penalty_at_one, 1)*$A$80,MAX(0, $A$80*reward*(1+MAX(0,5-expires)*0.1)*IF(lives&lt;=1, life_penalty_at_one, 1)*($A$80+(1-$A$80)*q_survive_on_fail) - (1-$A$80)*potion_cost*gamma)))</f>
        <v>0</v>
      </c>
    </row>
    <row r="81" spans="1:7">
      <c r="A81">
        <v>0.7681818181818182</v>
      </c>
      <c r="B81">
        <f>$A$81*reward*(1+MAX(0,5-expires)*0.1)*IF(lives&lt;=1, life_penalty_at_one, 1)</f>
        <v>0</v>
      </c>
      <c r="C81">
        <f>($A$81^IF(lives&lt;=1,1.8,IF(lives=2,1.5,1.2)))*(MAX(0,reward)^0.85)*(1+MIN(0.5,0.15*MAX(0,5-expires)))*IF($A$81&lt;0.4, MAX(0.5, 1 - IF(lives&lt;=1,1.2,IF(lives=2,0.8,0.5))*(0.4 - $A$81)), 1)</f>
        <v>0</v>
      </c>
      <c r="D81">
        <f>IF(lives&gt;1,$A$81*reward*(1+MAX(0,5-expires)*0.1)*IF(lives&lt;=1, life_penalty_at_one, 1),IF(gold0&lt;potion_cost,$A$81*reward*(1+MAX(0,5-expires)*0.1)*IF(lives&lt;=1, life_penalty_at_one, 1)*$A$81,MAX(0, $A$81*reward*(1+MAX(0,5-expires)*0.1)*IF(lives&lt;=1, life_penalty_at_one, 1)*($A$81+(1-$A$81)*q_survive_on_fail) - (1-$A$81)*potion_cost*gamma)))</f>
        <v>0</v>
      </c>
      <c r="E81">
        <f>IF(lives&gt;1,$A$81*reward*(1+MAX(0,5-expires)*0.1)*IF(lives&lt;=1, life_penalty_at_one, 1),IF(gold1&lt;potion_cost,$A$81*reward*(1+MAX(0,5-expires)*0.1)*IF(lives&lt;=1, life_penalty_at_one, 1)*$A$81,MAX(0, $A$81*reward*(1+MAX(0,5-expires)*0.1)*IF(lives&lt;=1, life_penalty_at_one, 1)*($A$81+(1-$A$81)*q_survive_on_fail) - (1-$A$81)*potion_cost*gamma)))</f>
        <v>0</v>
      </c>
      <c r="F81">
        <f>IF(lives&gt;1,$A$81*reward*(1+MAX(0,5-expires)*0.1)*IF(lives&lt;=1, life_penalty_at_one, 1),IF(gold2&lt;potion_cost,$A$81*reward*(1+MAX(0,5-expires)*0.1)*IF(lives&lt;=1, life_penalty_at_one, 1)*$A$81,MAX(0, $A$81*reward*(1+MAX(0,5-expires)*0.1)*IF(lives&lt;=1, life_penalty_at_one, 1)*($A$81+(1-$A$81)*q_survive_on_fail) - (1-$A$81)*potion_cost*gamma)))</f>
        <v>0</v>
      </c>
      <c r="G81">
        <f>IF(lives&gt;1,$A$81*reward*(1+MAX(0,5-expires)*0.1)*IF(lives&lt;=1, life_penalty_at_one, 1),IF(gold3&lt;potion_cost,$A$81*reward*(1+MAX(0,5-expires)*0.1)*IF(lives&lt;=1, life_penalty_at_one, 1)*$A$81,MAX(0, $A$81*reward*(1+MAX(0,5-expires)*0.1)*IF(lives&lt;=1, life_penalty_at_one, 1)*($A$81+(1-$A$81)*q_survive_on_fail) - (1-$A$81)*potion_cost*gamma)))</f>
        <v>0</v>
      </c>
    </row>
    <row r="82" spans="1:7">
      <c r="A82">
        <v>0.7772727272727273</v>
      </c>
      <c r="B82">
        <f>$A$82*reward*(1+MAX(0,5-expires)*0.1)*IF(lives&lt;=1, life_penalty_at_one, 1)</f>
        <v>0</v>
      </c>
      <c r="C82">
        <f>($A$82^IF(lives&lt;=1,1.8,IF(lives=2,1.5,1.2)))*(MAX(0,reward)^0.85)*(1+MIN(0.5,0.15*MAX(0,5-expires)))*IF($A$82&lt;0.4, MAX(0.5, 1 - IF(lives&lt;=1,1.2,IF(lives=2,0.8,0.5))*(0.4 - $A$82)), 1)</f>
        <v>0</v>
      </c>
      <c r="D82">
        <f>IF(lives&gt;1,$A$82*reward*(1+MAX(0,5-expires)*0.1)*IF(lives&lt;=1, life_penalty_at_one, 1),IF(gold0&lt;potion_cost,$A$82*reward*(1+MAX(0,5-expires)*0.1)*IF(lives&lt;=1, life_penalty_at_one, 1)*$A$82,MAX(0, $A$82*reward*(1+MAX(0,5-expires)*0.1)*IF(lives&lt;=1, life_penalty_at_one, 1)*($A$82+(1-$A$82)*q_survive_on_fail) - (1-$A$82)*potion_cost*gamma)))</f>
        <v>0</v>
      </c>
      <c r="E82">
        <f>IF(lives&gt;1,$A$82*reward*(1+MAX(0,5-expires)*0.1)*IF(lives&lt;=1, life_penalty_at_one, 1),IF(gold1&lt;potion_cost,$A$82*reward*(1+MAX(0,5-expires)*0.1)*IF(lives&lt;=1, life_penalty_at_one, 1)*$A$82,MAX(0, $A$82*reward*(1+MAX(0,5-expires)*0.1)*IF(lives&lt;=1, life_penalty_at_one, 1)*($A$82+(1-$A$82)*q_survive_on_fail) - (1-$A$82)*potion_cost*gamma)))</f>
        <v>0</v>
      </c>
      <c r="F82">
        <f>IF(lives&gt;1,$A$82*reward*(1+MAX(0,5-expires)*0.1)*IF(lives&lt;=1, life_penalty_at_one, 1),IF(gold2&lt;potion_cost,$A$82*reward*(1+MAX(0,5-expires)*0.1)*IF(lives&lt;=1, life_penalty_at_one, 1)*$A$82,MAX(0, $A$82*reward*(1+MAX(0,5-expires)*0.1)*IF(lives&lt;=1, life_penalty_at_one, 1)*($A$82+(1-$A$82)*q_survive_on_fail) - (1-$A$82)*potion_cost*gamma)))</f>
        <v>0</v>
      </c>
      <c r="G82">
        <f>IF(lives&gt;1,$A$82*reward*(1+MAX(0,5-expires)*0.1)*IF(lives&lt;=1, life_penalty_at_one, 1),IF(gold3&lt;potion_cost,$A$82*reward*(1+MAX(0,5-expires)*0.1)*IF(lives&lt;=1, life_penalty_at_one, 1)*$A$82,MAX(0, $A$82*reward*(1+MAX(0,5-expires)*0.1)*IF(lives&lt;=1, life_penalty_at_one, 1)*($A$82+(1-$A$82)*q_survive_on_fail) - (1-$A$82)*potion_cost*gamma)))</f>
        <v>0</v>
      </c>
    </row>
    <row r="83" spans="1:7">
      <c r="A83">
        <v>0.7863636363636364</v>
      </c>
      <c r="B83">
        <f>$A$83*reward*(1+MAX(0,5-expires)*0.1)*IF(lives&lt;=1, life_penalty_at_one, 1)</f>
        <v>0</v>
      </c>
      <c r="C83">
        <f>($A$83^IF(lives&lt;=1,1.8,IF(lives=2,1.5,1.2)))*(MAX(0,reward)^0.85)*(1+MIN(0.5,0.15*MAX(0,5-expires)))*IF($A$83&lt;0.4, MAX(0.5, 1 - IF(lives&lt;=1,1.2,IF(lives=2,0.8,0.5))*(0.4 - $A$83)), 1)</f>
        <v>0</v>
      </c>
      <c r="D83">
        <f>IF(lives&gt;1,$A$83*reward*(1+MAX(0,5-expires)*0.1)*IF(lives&lt;=1, life_penalty_at_one, 1),IF(gold0&lt;potion_cost,$A$83*reward*(1+MAX(0,5-expires)*0.1)*IF(lives&lt;=1, life_penalty_at_one, 1)*$A$83,MAX(0, $A$83*reward*(1+MAX(0,5-expires)*0.1)*IF(lives&lt;=1, life_penalty_at_one, 1)*($A$83+(1-$A$83)*q_survive_on_fail) - (1-$A$83)*potion_cost*gamma)))</f>
        <v>0</v>
      </c>
      <c r="E83">
        <f>IF(lives&gt;1,$A$83*reward*(1+MAX(0,5-expires)*0.1)*IF(lives&lt;=1, life_penalty_at_one, 1),IF(gold1&lt;potion_cost,$A$83*reward*(1+MAX(0,5-expires)*0.1)*IF(lives&lt;=1, life_penalty_at_one, 1)*$A$83,MAX(0, $A$83*reward*(1+MAX(0,5-expires)*0.1)*IF(lives&lt;=1, life_penalty_at_one, 1)*($A$83+(1-$A$83)*q_survive_on_fail) - (1-$A$83)*potion_cost*gamma)))</f>
        <v>0</v>
      </c>
      <c r="F83">
        <f>IF(lives&gt;1,$A$83*reward*(1+MAX(0,5-expires)*0.1)*IF(lives&lt;=1, life_penalty_at_one, 1),IF(gold2&lt;potion_cost,$A$83*reward*(1+MAX(0,5-expires)*0.1)*IF(lives&lt;=1, life_penalty_at_one, 1)*$A$83,MAX(0, $A$83*reward*(1+MAX(0,5-expires)*0.1)*IF(lives&lt;=1, life_penalty_at_one, 1)*($A$83+(1-$A$83)*q_survive_on_fail) - (1-$A$83)*potion_cost*gamma)))</f>
        <v>0</v>
      </c>
      <c r="G83">
        <f>IF(lives&gt;1,$A$83*reward*(1+MAX(0,5-expires)*0.1)*IF(lives&lt;=1, life_penalty_at_one, 1),IF(gold3&lt;potion_cost,$A$83*reward*(1+MAX(0,5-expires)*0.1)*IF(lives&lt;=1, life_penalty_at_one, 1)*$A$83,MAX(0, $A$83*reward*(1+MAX(0,5-expires)*0.1)*IF(lives&lt;=1, life_penalty_at_one, 1)*($A$83+(1-$A$83)*q_survive_on_fail) - (1-$A$83)*potion_cost*gamma)))</f>
        <v>0</v>
      </c>
    </row>
    <row r="84" spans="1:7">
      <c r="A84">
        <v>0.7954545454545454</v>
      </c>
      <c r="B84">
        <f>$A$84*reward*(1+MAX(0,5-expires)*0.1)*IF(lives&lt;=1, life_penalty_at_one, 1)</f>
        <v>0</v>
      </c>
      <c r="C84">
        <f>($A$84^IF(lives&lt;=1,1.8,IF(lives=2,1.5,1.2)))*(MAX(0,reward)^0.85)*(1+MIN(0.5,0.15*MAX(0,5-expires)))*IF($A$84&lt;0.4, MAX(0.5, 1 - IF(lives&lt;=1,1.2,IF(lives=2,0.8,0.5))*(0.4 - $A$84)), 1)</f>
        <v>0</v>
      </c>
      <c r="D84">
        <f>IF(lives&gt;1,$A$84*reward*(1+MAX(0,5-expires)*0.1)*IF(lives&lt;=1, life_penalty_at_one, 1),IF(gold0&lt;potion_cost,$A$84*reward*(1+MAX(0,5-expires)*0.1)*IF(lives&lt;=1, life_penalty_at_one, 1)*$A$84,MAX(0, $A$84*reward*(1+MAX(0,5-expires)*0.1)*IF(lives&lt;=1, life_penalty_at_one, 1)*($A$84+(1-$A$84)*q_survive_on_fail) - (1-$A$84)*potion_cost*gamma)))</f>
        <v>0</v>
      </c>
      <c r="E84">
        <f>IF(lives&gt;1,$A$84*reward*(1+MAX(0,5-expires)*0.1)*IF(lives&lt;=1, life_penalty_at_one, 1),IF(gold1&lt;potion_cost,$A$84*reward*(1+MAX(0,5-expires)*0.1)*IF(lives&lt;=1, life_penalty_at_one, 1)*$A$84,MAX(0, $A$84*reward*(1+MAX(0,5-expires)*0.1)*IF(lives&lt;=1, life_penalty_at_one, 1)*($A$84+(1-$A$84)*q_survive_on_fail) - (1-$A$84)*potion_cost*gamma)))</f>
        <v>0</v>
      </c>
      <c r="F84">
        <f>IF(lives&gt;1,$A$84*reward*(1+MAX(0,5-expires)*0.1)*IF(lives&lt;=1, life_penalty_at_one, 1),IF(gold2&lt;potion_cost,$A$84*reward*(1+MAX(0,5-expires)*0.1)*IF(lives&lt;=1, life_penalty_at_one, 1)*$A$84,MAX(0, $A$84*reward*(1+MAX(0,5-expires)*0.1)*IF(lives&lt;=1, life_penalty_at_one, 1)*($A$84+(1-$A$84)*q_survive_on_fail) - (1-$A$84)*potion_cost*gamma)))</f>
        <v>0</v>
      </c>
      <c r="G84">
        <f>IF(lives&gt;1,$A$84*reward*(1+MAX(0,5-expires)*0.1)*IF(lives&lt;=1, life_penalty_at_one, 1),IF(gold3&lt;potion_cost,$A$84*reward*(1+MAX(0,5-expires)*0.1)*IF(lives&lt;=1, life_penalty_at_one, 1)*$A$84,MAX(0, $A$84*reward*(1+MAX(0,5-expires)*0.1)*IF(lives&lt;=1, life_penalty_at_one, 1)*($A$84+(1-$A$84)*q_survive_on_fail) - (1-$A$84)*potion_cost*gamma)))</f>
        <v>0</v>
      </c>
    </row>
    <row r="85" spans="1:7">
      <c r="A85">
        <v>0.8045454545454546</v>
      </c>
      <c r="B85">
        <f>$A$85*reward*(1+MAX(0,5-expires)*0.1)*IF(lives&lt;=1, life_penalty_at_one, 1)</f>
        <v>0</v>
      </c>
      <c r="C85">
        <f>($A$85^IF(lives&lt;=1,1.8,IF(lives=2,1.5,1.2)))*(MAX(0,reward)^0.85)*(1+MIN(0.5,0.15*MAX(0,5-expires)))*IF($A$85&lt;0.4, MAX(0.5, 1 - IF(lives&lt;=1,1.2,IF(lives=2,0.8,0.5))*(0.4 - $A$85)), 1)</f>
        <v>0</v>
      </c>
      <c r="D85">
        <f>IF(lives&gt;1,$A$85*reward*(1+MAX(0,5-expires)*0.1)*IF(lives&lt;=1, life_penalty_at_one, 1),IF(gold0&lt;potion_cost,$A$85*reward*(1+MAX(0,5-expires)*0.1)*IF(lives&lt;=1, life_penalty_at_one, 1)*$A$85,MAX(0, $A$85*reward*(1+MAX(0,5-expires)*0.1)*IF(lives&lt;=1, life_penalty_at_one, 1)*($A$85+(1-$A$85)*q_survive_on_fail) - (1-$A$85)*potion_cost*gamma)))</f>
        <v>0</v>
      </c>
      <c r="E85">
        <f>IF(lives&gt;1,$A$85*reward*(1+MAX(0,5-expires)*0.1)*IF(lives&lt;=1, life_penalty_at_one, 1),IF(gold1&lt;potion_cost,$A$85*reward*(1+MAX(0,5-expires)*0.1)*IF(lives&lt;=1, life_penalty_at_one, 1)*$A$85,MAX(0, $A$85*reward*(1+MAX(0,5-expires)*0.1)*IF(lives&lt;=1, life_penalty_at_one, 1)*($A$85+(1-$A$85)*q_survive_on_fail) - (1-$A$85)*potion_cost*gamma)))</f>
        <v>0</v>
      </c>
      <c r="F85">
        <f>IF(lives&gt;1,$A$85*reward*(1+MAX(0,5-expires)*0.1)*IF(lives&lt;=1, life_penalty_at_one, 1),IF(gold2&lt;potion_cost,$A$85*reward*(1+MAX(0,5-expires)*0.1)*IF(lives&lt;=1, life_penalty_at_one, 1)*$A$85,MAX(0, $A$85*reward*(1+MAX(0,5-expires)*0.1)*IF(lives&lt;=1, life_penalty_at_one, 1)*($A$85+(1-$A$85)*q_survive_on_fail) - (1-$A$85)*potion_cost*gamma)))</f>
        <v>0</v>
      </c>
      <c r="G85">
        <f>IF(lives&gt;1,$A$85*reward*(1+MAX(0,5-expires)*0.1)*IF(lives&lt;=1, life_penalty_at_one, 1),IF(gold3&lt;potion_cost,$A$85*reward*(1+MAX(0,5-expires)*0.1)*IF(lives&lt;=1, life_penalty_at_one, 1)*$A$85,MAX(0, $A$85*reward*(1+MAX(0,5-expires)*0.1)*IF(lives&lt;=1, life_penalty_at_one, 1)*($A$85+(1-$A$85)*q_survive_on_fail) - (1-$A$85)*potion_cost*gamma)))</f>
        <v>0</v>
      </c>
    </row>
    <row r="86" spans="1:7">
      <c r="A86">
        <v>0.8136363636363636</v>
      </c>
      <c r="B86">
        <f>$A$86*reward*(1+MAX(0,5-expires)*0.1)*IF(lives&lt;=1, life_penalty_at_one, 1)</f>
        <v>0</v>
      </c>
      <c r="C86">
        <f>($A$86^IF(lives&lt;=1,1.8,IF(lives=2,1.5,1.2)))*(MAX(0,reward)^0.85)*(1+MIN(0.5,0.15*MAX(0,5-expires)))*IF($A$86&lt;0.4, MAX(0.5, 1 - IF(lives&lt;=1,1.2,IF(lives=2,0.8,0.5))*(0.4 - $A$86)), 1)</f>
        <v>0</v>
      </c>
      <c r="D86">
        <f>IF(lives&gt;1,$A$86*reward*(1+MAX(0,5-expires)*0.1)*IF(lives&lt;=1, life_penalty_at_one, 1),IF(gold0&lt;potion_cost,$A$86*reward*(1+MAX(0,5-expires)*0.1)*IF(lives&lt;=1, life_penalty_at_one, 1)*$A$86,MAX(0, $A$86*reward*(1+MAX(0,5-expires)*0.1)*IF(lives&lt;=1, life_penalty_at_one, 1)*($A$86+(1-$A$86)*q_survive_on_fail) - (1-$A$86)*potion_cost*gamma)))</f>
        <v>0</v>
      </c>
      <c r="E86">
        <f>IF(lives&gt;1,$A$86*reward*(1+MAX(0,5-expires)*0.1)*IF(lives&lt;=1, life_penalty_at_one, 1),IF(gold1&lt;potion_cost,$A$86*reward*(1+MAX(0,5-expires)*0.1)*IF(lives&lt;=1, life_penalty_at_one, 1)*$A$86,MAX(0, $A$86*reward*(1+MAX(0,5-expires)*0.1)*IF(lives&lt;=1, life_penalty_at_one, 1)*($A$86+(1-$A$86)*q_survive_on_fail) - (1-$A$86)*potion_cost*gamma)))</f>
        <v>0</v>
      </c>
      <c r="F86">
        <f>IF(lives&gt;1,$A$86*reward*(1+MAX(0,5-expires)*0.1)*IF(lives&lt;=1, life_penalty_at_one, 1),IF(gold2&lt;potion_cost,$A$86*reward*(1+MAX(0,5-expires)*0.1)*IF(lives&lt;=1, life_penalty_at_one, 1)*$A$86,MAX(0, $A$86*reward*(1+MAX(0,5-expires)*0.1)*IF(lives&lt;=1, life_penalty_at_one, 1)*($A$86+(1-$A$86)*q_survive_on_fail) - (1-$A$86)*potion_cost*gamma)))</f>
        <v>0</v>
      </c>
      <c r="G86">
        <f>IF(lives&gt;1,$A$86*reward*(1+MAX(0,5-expires)*0.1)*IF(lives&lt;=1, life_penalty_at_one, 1),IF(gold3&lt;potion_cost,$A$86*reward*(1+MAX(0,5-expires)*0.1)*IF(lives&lt;=1, life_penalty_at_one, 1)*$A$86,MAX(0, $A$86*reward*(1+MAX(0,5-expires)*0.1)*IF(lives&lt;=1, life_penalty_at_one, 1)*($A$86+(1-$A$86)*q_survive_on_fail) - (1-$A$86)*potion_cost*gamma)))</f>
        <v>0</v>
      </c>
    </row>
    <row r="87" spans="1:7">
      <c r="A87">
        <v>0.8227272727272728</v>
      </c>
      <c r="B87">
        <f>$A$87*reward*(1+MAX(0,5-expires)*0.1)*IF(lives&lt;=1, life_penalty_at_one, 1)</f>
        <v>0</v>
      </c>
      <c r="C87">
        <f>($A$87^IF(lives&lt;=1,1.8,IF(lives=2,1.5,1.2)))*(MAX(0,reward)^0.85)*(1+MIN(0.5,0.15*MAX(0,5-expires)))*IF($A$87&lt;0.4, MAX(0.5, 1 - IF(lives&lt;=1,1.2,IF(lives=2,0.8,0.5))*(0.4 - $A$87)), 1)</f>
        <v>0</v>
      </c>
      <c r="D87">
        <f>IF(lives&gt;1,$A$87*reward*(1+MAX(0,5-expires)*0.1)*IF(lives&lt;=1, life_penalty_at_one, 1),IF(gold0&lt;potion_cost,$A$87*reward*(1+MAX(0,5-expires)*0.1)*IF(lives&lt;=1, life_penalty_at_one, 1)*$A$87,MAX(0, $A$87*reward*(1+MAX(0,5-expires)*0.1)*IF(lives&lt;=1, life_penalty_at_one, 1)*($A$87+(1-$A$87)*q_survive_on_fail) - (1-$A$87)*potion_cost*gamma)))</f>
        <v>0</v>
      </c>
      <c r="E87">
        <f>IF(lives&gt;1,$A$87*reward*(1+MAX(0,5-expires)*0.1)*IF(lives&lt;=1, life_penalty_at_one, 1),IF(gold1&lt;potion_cost,$A$87*reward*(1+MAX(0,5-expires)*0.1)*IF(lives&lt;=1, life_penalty_at_one, 1)*$A$87,MAX(0, $A$87*reward*(1+MAX(0,5-expires)*0.1)*IF(lives&lt;=1, life_penalty_at_one, 1)*($A$87+(1-$A$87)*q_survive_on_fail) - (1-$A$87)*potion_cost*gamma)))</f>
        <v>0</v>
      </c>
      <c r="F87">
        <f>IF(lives&gt;1,$A$87*reward*(1+MAX(0,5-expires)*0.1)*IF(lives&lt;=1, life_penalty_at_one, 1),IF(gold2&lt;potion_cost,$A$87*reward*(1+MAX(0,5-expires)*0.1)*IF(lives&lt;=1, life_penalty_at_one, 1)*$A$87,MAX(0, $A$87*reward*(1+MAX(0,5-expires)*0.1)*IF(lives&lt;=1, life_penalty_at_one, 1)*($A$87+(1-$A$87)*q_survive_on_fail) - (1-$A$87)*potion_cost*gamma)))</f>
        <v>0</v>
      </c>
      <c r="G87">
        <f>IF(lives&gt;1,$A$87*reward*(1+MAX(0,5-expires)*0.1)*IF(lives&lt;=1, life_penalty_at_one, 1),IF(gold3&lt;potion_cost,$A$87*reward*(1+MAX(0,5-expires)*0.1)*IF(lives&lt;=1, life_penalty_at_one, 1)*$A$87,MAX(0, $A$87*reward*(1+MAX(0,5-expires)*0.1)*IF(lives&lt;=1, life_penalty_at_one, 1)*($A$87+(1-$A$87)*q_survive_on_fail) - (1-$A$87)*potion_cost*gamma)))</f>
        <v>0</v>
      </c>
    </row>
    <row r="88" spans="1:7">
      <c r="A88">
        <v>0.8318181818181818</v>
      </c>
      <c r="B88">
        <f>$A$88*reward*(1+MAX(0,5-expires)*0.1)*IF(lives&lt;=1, life_penalty_at_one, 1)</f>
        <v>0</v>
      </c>
      <c r="C88">
        <f>($A$88^IF(lives&lt;=1,1.8,IF(lives=2,1.5,1.2)))*(MAX(0,reward)^0.85)*(1+MIN(0.5,0.15*MAX(0,5-expires)))*IF($A$88&lt;0.4, MAX(0.5, 1 - IF(lives&lt;=1,1.2,IF(lives=2,0.8,0.5))*(0.4 - $A$88)), 1)</f>
        <v>0</v>
      </c>
      <c r="D88">
        <f>IF(lives&gt;1,$A$88*reward*(1+MAX(0,5-expires)*0.1)*IF(lives&lt;=1, life_penalty_at_one, 1),IF(gold0&lt;potion_cost,$A$88*reward*(1+MAX(0,5-expires)*0.1)*IF(lives&lt;=1, life_penalty_at_one, 1)*$A$88,MAX(0, $A$88*reward*(1+MAX(0,5-expires)*0.1)*IF(lives&lt;=1, life_penalty_at_one, 1)*($A$88+(1-$A$88)*q_survive_on_fail) - (1-$A$88)*potion_cost*gamma)))</f>
        <v>0</v>
      </c>
      <c r="E88">
        <f>IF(lives&gt;1,$A$88*reward*(1+MAX(0,5-expires)*0.1)*IF(lives&lt;=1, life_penalty_at_one, 1),IF(gold1&lt;potion_cost,$A$88*reward*(1+MAX(0,5-expires)*0.1)*IF(lives&lt;=1, life_penalty_at_one, 1)*$A$88,MAX(0, $A$88*reward*(1+MAX(0,5-expires)*0.1)*IF(lives&lt;=1, life_penalty_at_one, 1)*($A$88+(1-$A$88)*q_survive_on_fail) - (1-$A$88)*potion_cost*gamma)))</f>
        <v>0</v>
      </c>
      <c r="F88">
        <f>IF(lives&gt;1,$A$88*reward*(1+MAX(0,5-expires)*0.1)*IF(lives&lt;=1, life_penalty_at_one, 1),IF(gold2&lt;potion_cost,$A$88*reward*(1+MAX(0,5-expires)*0.1)*IF(lives&lt;=1, life_penalty_at_one, 1)*$A$88,MAX(0, $A$88*reward*(1+MAX(0,5-expires)*0.1)*IF(lives&lt;=1, life_penalty_at_one, 1)*($A$88+(1-$A$88)*q_survive_on_fail) - (1-$A$88)*potion_cost*gamma)))</f>
        <v>0</v>
      </c>
      <c r="G88">
        <f>IF(lives&gt;1,$A$88*reward*(1+MAX(0,5-expires)*0.1)*IF(lives&lt;=1, life_penalty_at_one, 1),IF(gold3&lt;potion_cost,$A$88*reward*(1+MAX(0,5-expires)*0.1)*IF(lives&lt;=1, life_penalty_at_one, 1)*$A$88,MAX(0, $A$88*reward*(1+MAX(0,5-expires)*0.1)*IF(lives&lt;=1, life_penalty_at_one, 1)*($A$88+(1-$A$88)*q_survive_on_fail) - (1-$A$88)*potion_cost*gamma)))</f>
        <v>0</v>
      </c>
    </row>
    <row r="89" spans="1:7">
      <c r="A89">
        <v>0.8409090909090909</v>
      </c>
      <c r="B89">
        <f>$A$89*reward*(1+MAX(0,5-expires)*0.1)*IF(lives&lt;=1, life_penalty_at_one, 1)</f>
        <v>0</v>
      </c>
      <c r="C89">
        <f>($A$89^IF(lives&lt;=1,1.8,IF(lives=2,1.5,1.2)))*(MAX(0,reward)^0.85)*(1+MIN(0.5,0.15*MAX(0,5-expires)))*IF($A$89&lt;0.4, MAX(0.5, 1 - IF(lives&lt;=1,1.2,IF(lives=2,0.8,0.5))*(0.4 - $A$89)), 1)</f>
        <v>0</v>
      </c>
      <c r="D89">
        <f>IF(lives&gt;1,$A$89*reward*(1+MAX(0,5-expires)*0.1)*IF(lives&lt;=1, life_penalty_at_one, 1),IF(gold0&lt;potion_cost,$A$89*reward*(1+MAX(0,5-expires)*0.1)*IF(lives&lt;=1, life_penalty_at_one, 1)*$A$89,MAX(0, $A$89*reward*(1+MAX(0,5-expires)*0.1)*IF(lives&lt;=1, life_penalty_at_one, 1)*($A$89+(1-$A$89)*q_survive_on_fail) - (1-$A$89)*potion_cost*gamma)))</f>
        <v>0</v>
      </c>
      <c r="E89">
        <f>IF(lives&gt;1,$A$89*reward*(1+MAX(0,5-expires)*0.1)*IF(lives&lt;=1, life_penalty_at_one, 1),IF(gold1&lt;potion_cost,$A$89*reward*(1+MAX(0,5-expires)*0.1)*IF(lives&lt;=1, life_penalty_at_one, 1)*$A$89,MAX(0, $A$89*reward*(1+MAX(0,5-expires)*0.1)*IF(lives&lt;=1, life_penalty_at_one, 1)*($A$89+(1-$A$89)*q_survive_on_fail) - (1-$A$89)*potion_cost*gamma)))</f>
        <v>0</v>
      </c>
      <c r="F89">
        <f>IF(lives&gt;1,$A$89*reward*(1+MAX(0,5-expires)*0.1)*IF(lives&lt;=1, life_penalty_at_one, 1),IF(gold2&lt;potion_cost,$A$89*reward*(1+MAX(0,5-expires)*0.1)*IF(lives&lt;=1, life_penalty_at_one, 1)*$A$89,MAX(0, $A$89*reward*(1+MAX(0,5-expires)*0.1)*IF(lives&lt;=1, life_penalty_at_one, 1)*($A$89+(1-$A$89)*q_survive_on_fail) - (1-$A$89)*potion_cost*gamma)))</f>
        <v>0</v>
      </c>
      <c r="G89">
        <f>IF(lives&gt;1,$A$89*reward*(1+MAX(0,5-expires)*0.1)*IF(lives&lt;=1, life_penalty_at_one, 1),IF(gold3&lt;potion_cost,$A$89*reward*(1+MAX(0,5-expires)*0.1)*IF(lives&lt;=1, life_penalty_at_one, 1)*$A$89,MAX(0, $A$89*reward*(1+MAX(0,5-expires)*0.1)*IF(lives&lt;=1, life_penalty_at_one, 1)*($A$89+(1-$A$89)*q_survive_on_fail) - (1-$A$89)*potion_cost*gamma)))</f>
        <v>0</v>
      </c>
    </row>
    <row r="90" spans="1:7">
      <c r="A90">
        <v>0.85</v>
      </c>
      <c r="B90">
        <f>$A$90*reward*(1+MAX(0,5-expires)*0.1)*IF(lives&lt;=1, life_penalty_at_one, 1)</f>
        <v>0</v>
      </c>
      <c r="C90">
        <f>($A$90^IF(lives&lt;=1,1.8,IF(lives=2,1.5,1.2)))*(MAX(0,reward)^0.85)*(1+MIN(0.5,0.15*MAX(0,5-expires)))*IF($A$90&lt;0.4, MAX(0.5, 1 - IF(lives&lt;=1,1.2,IF(lives=2,0.8,0.5))*(0.4 - $A$90)), 1)</f>
        <v>0</v>
      </c>
      <c r="D90">
        <f>IF(lives&gt;1,$A$90*reward*(1+MAX(0,5-expires)*0.1)*IF(lives&lt;=1, life_penalty_at_one, 1),IF(gold0&lt;potion_cost,$A$90*reward*(1+MAX(0,5-expires)*0.1)*IF(lives&lt;=1, life_penalty_at_one, 1)*$A$90,MAX(0, $A$90*reward*(1+MAX(0,5-expires)*0.1)*IF(lives&lt;=1, life_penalty_at_one, 1)*($A$90+(1-$A$90)*q_survive_on_fail) - (1-$A$90)*potion_cost*gamma)))</f>
        <v>0</v>
      </c>
      <c r="E90">
        <f>IF(lives&gt;1,$A$90*reward*(1+MAX(0,5-expires)*0.1)*IF(lives&lt;=1, life_penalty_at_one, 1),IF(gold1&lt;potion_cost,$A$90*reward*(1+MAX(0,5-expires)*0.1)*IF(lives&lt;=1, life_penalty_at_one, 1)*$A$90,MAX(0, $A$90*reward*(1+MAX(0,5-expires)*0.1)*IF(lives&lt;=1, life_penalty_at_one, 1)*($A$90+(1-$A$90)*q_survive_on_fail) - (1-$A$90)*potion_cost*gamma)))</f>
        <v>0</v>
      </c>
      <c r="F90">
        <f>IF(lives&gt;1,$A$90*reward*(1+MAX(0,5-expires)*0.1)*IF(lives&lt;=1, life_penalty_at_one, 1),IF(gold2&lt;potion_cost,$A$90*reward*(1+MAX(0,5-expires)*0.1)*IF(lives&lt;=1, life_penalty_at_one, 1)*$A$90,MAX(0, $A$90*reward*(1+MAX(0,5-expires)*0.1)*IF(lives&lt;=1, life_penalty_at_one, 1)*($A$90+(1-$A$90)*q_survive_on_fail) - (1-$A$90)*potion_cost*gamma)))</f>
        <v>0</v>
      </c>
      <c r="G90">
        <f>IF(lives&gt;1,$A$90*reward*(1+MAX(0,5-expires)*0.1)*IF(lives&lt;=1, life_penalty_at_one, 1),IF(gold3&lt;potion_cost,$A$90*reward*(1+MAX(0,5-expires)*0.1)*IF(lives&lt;=1, life_penalty_at_one, 1)*$A$90,MAX(0, $A$90*reward*(1+MAX(0,5-expires)*0.1)*IF(lives&lt;=1, life_penalty_at_one, 1)*($A$90+(1-$A$90)*q_survive_on_fail) - (1-$A$90)*potion_cost*gamma)))</f>
        <v>0</v>
      </c>
    </row>
    <row r="91" spans="1:7">
      <c r="A91">
        <v>0.8590909090909091</v>
      </c>
      <c r="B91">
        <f>$A$91*reward*(1+MAX(0,5-expires)*0.1)*IF(lives&lt;=1, life_penalty_at_one, 1)</f>
        <v>0</v>
      </c>
      <c r="C91">
        <f>($A$91^IF(lives&lt;=1,1.8,IF(lives=2,1.5,1.2)))*(MAX(0,reward)^0.85)*(1+MIN(0.5,0.15*MAX(0,5-expires)))*IF($A$91&lt;0.4, MAX(0.5, 1 - IF(lives&lt;=1,1.2,IF(lives=2,0.8,0.5))*(0.4 - $A$91)), 1)</f>
        <v>0</v>
      </c>
      <c r="D91">
        <f>IF(lives&gt;1,$A$91*reward*(1+MAX(0,5-expires)*0.1)*IF(lives&lt;=1, life_penalty_at_one, 1),IF(gold0&lt;potion_cost,$A$91*reward*(1+MAX(0,5-expires)*0.1)*IF(lives&lt;=1, life_penalty_at_one, 1)*$A$91,MAX(0, $A$91*reward*(1+MAX(0,5-expires)*0.1)*IF(lives&lt;=1, life_penalty_at_one, 1)*($A$91+(1-$A$91)*q_survive_on_fail) - (1-$A$91)*potion_cost*gamma)))</f>
        <v>0</v>
      </c>
      <c r="E91">
        <f>IF(lives&gt;1,$A$91*reward*(1+MAX(0,5-expires)*0.1)*IF(lives&lt;=1, life_penalty_at_one, 1),IF(gold1&lt;potion_cost,$A$91*reward*(1+MAX(0,5-expires)*0.1)*IF(lives&lt;=1, life_penalty_at_one, 1)*$A$91,MAX(0, $A$91*reward*(1+MAX(0,5-expires)*0.1)*IF(lives&lt;=1, life_penalty_at_one, 1)*($A$91+(1-$A$91)*q_survive_on_fail) - (1-$A$91)*potion_cost*gamma)))</f>
        <v>0</v>
      </c>
      <c r="F91">
        <f>IF(lives&gt;1,$A$91*reward*(1+MAX(0,5-expires)*0.1)*IF(lives&lt;=1, life_penalty_at_one, 1),IF(gold2&lt;potion_cost,$A$91*reward*(1+MAX(0,5-expires)*0.1)*IF(lives&lt;=1, life_penalty_at_one, 1)*$A$91,MAX(0, $A$91*reward*(1+MAX(0,5-expires)*0.1)*IF(lives&lt;=1, life_penalty_at_one, 1)*($A$91+(1-$A$91)*q_survive_on_fail) - (1-$A$91)*potion_cost*gamma)))</f>
        <v>0</v>
      </c>
      <c r="G91">
        <f>IF(lives&gt;1,$A$91*reward*(1+MAX(0,5-expires)*0.1)*IF(lives&lt;=1, life_penalty_at_one, 1),IF(gold3&lt;potion_cost,$A$91*reward*(1+MAX(0,5-expires)*0.1)*IF(lives&lt;=1, life_penalty_at_one, 1)*$A$91,MAX(0, $A$91*reward*(1+MAX(0,5-expires)*0.1)*IF(lives&lt;=1, life_penalty_at_one, 1)*($A$91+(1-$A$91)*q_survive_on_fail) - (1-$A$91)*potion_cost*gamma)))</f>
        <v>0</v>
      </c>
    </row>
    <row r="92" spans="1:7">
      <c r="A92">
        <v>0.8681818181818182</v>
      </c>
      <c r="B92">
        <f>$A$92*reward*(1+MAX(0,5-expires)*0.1)*IF(lives&lt;=1, life_penalty_at_one, 1)</f>
        <v>0</v>
      </c>
      <c r="C92">
        <f>($A$92^IF(lives&lt;=1,1.8,IF(lives=2,1.5,1.2)))*(MAX(0,reward)^0.85)*(1+MIN(0.5,0.15*MAX(0,5-expires)))*IF($A$92&lt;0.4, MAX(0.5, 1 - IF(lives&lt;=1,1.2,IF(lives=2,0.8,0.5))*(0.4 - $A$92)), 1)</f>
        <v>0</v>
      </c>
      <c r="D92">
        <f>IF(lives&gt;1,$A$92*reward*(1+MAX(0,5-expires)*0.1)*IF(lives&lt;=1, life_penalty_at_one, 1),IF(gold0&lt;potion_cost,$A$92*reward*(1+MAX(0,5-expires)*0.1)*IF(lives&lt;=1, life_penalty_at_one, 1)*$A$92,MAX(0, $A$92*reward*(1+MAX(0,5-expires)*0.1)*IF(lives&lt;=1, life_penalty_at_one, 1)*($A$92+(1-$A$92)*q_survive_on_fail) - (1-$A$92)*potion_cost*gamma)))</f>
        <v>0</v>
      </c>
      <c r="E92">
        <f>IF(lives&gt;1,$A$92*reward*(1+MAX(0,5-expires)*0.1)*IF(lives&lt;=1, life_penalty_at_one, 1),IF(gold1&lt;potion_cost,$A$92*reward*(1+MAX(0,5-expires)*0.1)*IF(lives&lt;=1, life_penalty_at_one, 1)*$A$92,MAX(0, $A$92*reward*(1+MAX(0,5-expires)*0.1)*IF(lives&lt;=1, life_penalty_at_one, 1)*($A$92+(1-$A$92)*q_survive_on_fail) - (1-$A$92)*potion_cost*gamma)))</f>
        <v>0</v>
      </c>
      <c r="F92">
        <f>IF(lives&gt;1,$A$92*reward*(1+MAX(0,5-expires)*0.1)*IF(lives&lt;=1, life_penalty_at_one, 1),IF(gold2&lt;potion_cost,$A$92*reward*(1+MAX(0,5-expires)*0.1)*IF(lives&lt;=1, life_penalty_at_one, 1)*$A$92,MAX(0, $A$92*reward*(1+MAX(0,5-expires)*0.1)*IF(lives&lt;=1, life_penalty_at_one, 1)*($A$92+(1-$A$92)*q_survive_on_fail) - (1-$A$92)*potion_cost*gamma)))</f>
        <v>0</v>
      </c>
      <c r="G92">
        <f>IF(lives&gt;1,$A$92*reward*(1+MAX(0,5-expires)*0.1)*IF(lives&lt;=1, life_penalty_at_one, 1),IF(gold3&lt;potion_cost,$A$92*reward*(1+MAX(0,5-expires)*0.1)*IF(lives&lt;=1, life_penalty_at_one, 1)*$A$92,MAX(0, $A$92*reward*(1+MAX(0,5-expires)*0.1)*IF(lives&lt;=1, life_penalty_at_one, 1)*($A$92+(1-$A$92)*q_survive_on_fail) - (1-$A$92)*potion_cost*gamma)))</f>
        <v>0</v>
      </c>
    </row>
    <row r="93" spans="1:7">
      <c r="A93">
        <v>0.8772727272727273</v>
      </c>
      <c r="B93">
        <f>$A$93*reward*(1+MAX(0,5-expires)*0.1)*IF(lives&lt;=1, life_penalty_at_one, 1)</f>
        <v>0</v>
      </c>
      <c r="C93">
        <f>($A$93^IF(lives&lt;=1,1.8,IF(lives=2,1.5,1.2)))*(MAX(0,reward)^0.85)*(1+MIN(0.5,0.15*MAX(0,5-expires)))*IF($A$93&lt;0.4, MAX(0.5, 1 - IF(lives&lt;=1,1.2,IF(lives=2,0.8,0.5))*(0.4 - $A$93)), 1)</f>
        <v>0</v>
      </c>
      <c r="D93">
        <f>IF(lives&gt;1,$A$93*reward*(1+MAX(0,5-expires)*0.1)*IF(lives&lt;=1, life_penalty_at_one, 1),IF(gold0&lt;potion_cost,$A$93*reward*(1+MAX(0,5-expires)*0.1)*IF(lives&lt;=1, life_penalty_at_one, 1)*$A$93,MAX(0, $A$93*reward*(1+MAX(0,5-expires)*0.1)*IF(lives&lt;=1, life_penalty_at_one, 1)*($A$93+(1-$A$93)*q_survive_on_fail) - (1-$A$93)*potion_cost*gamma)))</f>
        <v>0</v>
      </c>
      <c r="E93">
        <f>IF(lives&gt;1,$A$93*reward*(1+MAX(0,5-expires)*0.1)*IF(lives&lt;=1, life_penalty_at_one, 1),IF(gold1&lt;potion_cost,$A$93*reward*(1+MAX(0,5-expires)*0.1)*IF(lives&lt;=1, life_penalty_at_one, 1)*$A$93,MAX(0, $A$93*reward*(1+MAX(0,5-expires)*0.1)*IF(lives&lt;=1, life_penalty_at_one, 1)*($A$93+(1-$A$93)*q_survive_on_fail) - (1-$A$93)*potion_cost*gamma)))</f>
        <v>0</v>
      </c>
      <c r="F93">
        <f>IF(lives&gt;1,$A$93*reward*(1+MAX(0,5-expires)*0.1)*IF(lives&lt;=1, life_penalty_at_one, 1),IF(gold2&lt;potion_cost,$A$93*reward*(1+MAX(0,5-expires)*0.1)*IF(lives&lt;=1, life_penalty_at_one, 1)*$A$93,MAX(0, $A$93*reward*(1+MAX(0,5-expires)*0.1)*IF(lives&lt;=1, life_penalty_at_one, 1)*($A$93+(1-$A$93)*q_survive_on_fail) - (1-$A$93)*potion_cost*gamma)))</f>
        <v>0</v>
      </c>
      <c r="G93">
        <f>IF(lives&gt;1,$A$93*reward*(1+MAX(0,5-expires)*0.1)*IF(lives&lt;=1, life_penalty_at_one, 1),IF(gold3&lt;potion_cost,$A$93*reward*(1+MAX(0,5-expires)*0.1)*IF(lives&lt;=1, life_penalty_at_one, 1)*$A$93,MAX(0, $A$93*reward*(1+MAX(0,5-expires)*0.1)*IF(lives&lt;=1, life_penalty_at_one, 1)*($A$93+(1-$A$93)*q_survive_on_fail) - (1-$A$93)*potion_cost*gamma)))</f>
        <v>0</v>
      </c>
    </row>
    <row r="94" spans="1:7">
      <c r="A94">
        <v>0.8863636363636364</v>
      </c>
      <c r="B94">
        <f>$A$94*reward*(1+MAX(0,5-expires)*0.1)*IF(lives&lt;=1, life_penalty_at_one, 1)</f>
        <v>0</v>
      </c>
      <c r="C94">
        <f>($A$94^IF(lives&lt;=1,1.8,IF(lives=2,1.5,1.2)))*(MAX(0,reward)^0.85)*(1+MIN(0.5,0.15*MAX(0,5-expires)))*IF($A$94&lt;0.4, MAX(0.5, 1 - IF(lives&lt;=1,1.2,IF(lives=2,0.8,0.5))*(0.4 - $A$94)), 1)</f>
        <v>0</v>
      </c>
      <c r="D94">
        <f>IF(lives&gt;1,$A$94*reward*(1+MAX(0,5-expires)*0.1)*IF(lives&lt;=1, life_penalty_at_one, 1),IF(gold0&lt;potion_cost,$A$94*reward*(1+MAX(0,5-expires)*0.1)*IF(lives&lt;=1, life_penalty_at_one, 1)*$A$94,MAX(0, $A$94*reward*(1+MAX(0,5-expires)*0.1)*IF(lives&lt;=1, life_penalty_at_one, 1)*($A$94+(1-$A$94)*q_survive_on_fail) - (1-$A$94)*potion_cost*gamma)))</f>
        <v>0</v>
      </c>
      <c r="E94">
        <f>IF(lives&gt;1,$A$94*reward*(1+MAX(0,5-expires)*0.1)*IF(lives&lt;=1, life_penalty_at_one, 1),IF(gold1&lt;potion_cost,$A$94*reward*(1+MAX(0,5-expires)*0.1)*IF(lives&lt;=1, life_penalty_at_one, 1)*$A$94,MAX(0, $A$94*reward*(1+MAX(0,5-expires)*0.1)*IF(lives&lt;=1, life_penalty_at_one, 1)*($A$94+(1-$A$94)*q_survive_on_fail) - (1-$A$94)*potion_cost*gamma)))</f>
        <v>0</v>
      </c>
      <c r="F94">
        <f>IF(lives&gt;1,$A$94*reward*(1+MAX(0,5-expires)*0.1)*IF(lives&lt;=1, life_penalty_at_one, 1),IF(gold2&lt;potion_cost,$A$94*reward*(1+MAX(0,5-expires)*0.1)*IF(lives&lt;=1, life_penalty_at_one, 1)*$A$94,MAX(0, $A$94*reward*(1+MAX(0,5-expires)*0.1)*IF(lives&lt;=1, life_penalty_at_one, 1)*($A$94+(1-$A$94)*q_survive_on_fail) - (1-$A$94)*potion_cost*gamma)))</f>
        <v>0</v>
      </c>
      <c r="G94">
        <f>IF(lives&gt;1,$A$94*reward*(1+MAX(0,5-expires)*0.1)*IF(lives&lt;=1, life_penalty_at_one, 1),IF(gold3&lt;potion_cost,$A$94*reward*(1+MAX(0,5-expires)*0.1)*IF(lives&lt;=1, life_penalty_at_one, 1)*$A$94,MAX(0, $A$94*reward*(1+MAX(0,5-expires)*0.1)*IF(lives&lt;=1, life_penalty_at_one, 1)*($A$94+(1-$A$94)*q_survive_on_fail) - (1-$A$94)*potion_cost*gamma)))</f>
        <v>0</v>
      </c>
    </row>
    <row r="95" spans="1:7">
      <c r="A95">
        <v>0.8954545454545455</v>
      </c>
      <c r="B95">
        <f>$A$95*reward*(1+MAX(0,5-expires)*0.1)*IF(lives&lt;=1, life_penalty_at_one, 1)</f>
        <v>0</v>
      </c>
      <c r="C95">
        <f>($A$95^IF(lives&lt;=1,1.8,IF(lives=2,1.5,1.2)))*(MAX(0,reward)^0.85)*(1+MIN(0.5,0.15*MAX(0,5-expires)))*IF($A$95&lt;0.4, MAX(0.5, 1 - IF(lives&lt;=1,1.2,IF(lives=2,0.8,0.5))*(0.4 - $A$95)), 1)</f>
        <v>0</v>
      </c>
      <c r="D95">
        <f>IF(lives&gt;1,$A$95*reward*(1+MAX(0,5-expires)*0.1)*IF(lives&lt;=1, life_penalty_at_one, 1),IF(gold0&lt;potion_cost,$A$95*reward*(1+MAX(0,5-expires)*0.1)*IF(lives&lt;=1, life_penalty_at_one, 1)*$A$95,MAX(0, $A$95*reward*(1+MAX(0,5-expires)*0.1)*IF(lives&lt;=1, life_penalty_at_one, 1)*($A$95+(1-$A$95)*q_survive_on_fail) - (1-$A$95)*potion_cost*gamma)))</f>
        <v>0</v>
      </c>
      <c r="E95">
        <f>IF(lives&gt;1,$A$95*reward*(1+MAX(0,5-expires)*0.1)*IF(lives&lt;=1, life_penalty_at_one, 1),IF(gold1&lt;potion_cost,$A$95*reward*(1+MAX(0,5-expires)*0.1)*IF(lives&lt;=1, life_penalty_at_one, 1)*$A$95,MAX(0, $A$95*reward*(1+MAX(0,5-expires)*0.1)*IF(lives&lt;=1, life_penalty_at_one, 1)*($A$95+(1-$A$95)*q_survive_on_fail) - (1-$A$95)*potion_cost*gamma)))</f>
        <v>0</v>
      </c>
      <c r="F95">
        <f>IF(lives&gt;1,$A$95*reward*(1+MAX(0,5-expires)*0.1)*IF(lives&lt;=1, life_penalty_at_one, 1),IF(gold2&lt;potion_cost,$A$95*reward*(1+MAX(0,5-expires)*0.1)*IF(lives&lt;=1, life_penalty_at_one, 1)*$A$95,MAX(0, $A$95*reward*(1+MAX(0,5-expires)*0.1)*IF(lives&lt;=1, life_penalty_at_one, 1)*($A$95+(1-$A$95)*q_survive_on_fail) - (1-$A$95)*potion_cost*gamma)))</f>
        <v>0</v>
      </c>
      <c r="G95">
        <f>IF(lives&gt;1,$A$95*reward*(1+MAX(0,5-expires)*0.1)*IF(lives&lt;=1, life_penalty_at_one, 1),IF(gold3&lt;potion_cost,$A$95*reward*(1+MAX(0,5-expires)*0.1)*IF(lives&lt;=1, life_penalty_at_one, 1)*$A$95,MAX(0, $A$95*reward*(1+MAX(0,5-expires)*0.1)*IF(lives&lt;=1, life_penalty_at_one, 1)*($A$95+(1-$A$95)*q_survive_on_fail) - (1-$A$95)*potion_cost*gamma)))</f>
        <v>0</v>
      </c>
    </row>
    <row r="96" spans="1:7">
      <c r="A96">
        <v>0.9045454545454545</v>
      </c>
      <c r="B96">
        <f>$A$96*reward*(1+MAX(0,5-expires)*0.1)*IF(lives&lt;=1, life_penalty_at_one, 1)</f>
        <v>0</v>
      </c>
      <c r="C96">
        <f>($A$96^IF(lives&lt;=1,1.8,IF(lives=2,1.5,1.2)))*(MAX(0,reward)^0.85)*(1+MIN(0.5,0.15*MAX(0,5-expires)))*IF($A$96&lt;0.4, MAX(0.5, 1 - IF(lives&lt;=1,1.2,IF(lives=2,0.8,0.5))*(0.4 - $A$96)), 1)</f>
        <v>0</v>
      </c>
      <c r="D96">
        <f>IF(lives&gt;1,$A$96*reward*(1+MAX(0,5-expires)*0.1)*IF(lives&lt;=1, life_penalty_at_one, 1),IF(gold0&lt;potion_cost,$A$96*reward*(1+MAX(0,5-expires)*0.1)*IF(lives&lt;=1, life_penalty_at_one, 1)*$A$96,MAX(0, $A$96*reward*(1+MAX(0,5-expires)*0.1)*IF(lives&lt;=1, life_penalty_at_one, 1)*($A$96+(1-$A$96)*q_survive_on_fail) - (1-$A$96)*potion_cost*gamma)))</f>
        <v>0</v>
      </c>
      <c r="E96">
        <f>IF(lives&gt;1,$A$96*reward*(1+MAX(0,5-expires)*0.1)*IF(lives&lt;=1, life_penalty_at_one, 1),IF(gold1&lt;potion_cost,$A$96*reward*(1+MAX(0,5-expires)*0.1)*IF(lives&lt;=1, life_penalty_at_one, 1)*$A$96,MAX(0, $A$96*reward*(1+MAX(0,5-expires)*0.1)*IF(lives&lt;=1, life_penalty_at_one, 1)*($A$96+(1-$A$96)*q_survive_on_fail) - (1-$A$96)*potion_cost*gamma)))</f>
        <v>0</v>
      </c>
      <c r="F96">
        <f>IF(lives&gt;1,$A$96*reward*(1+MAX(0,5-expires)*0.1)*IF(lives&lt;=1, life_penalty_at_one, 1),IF(gold2&lt;potion_cost,$A$96*reward*(1+MAX(0,5-expires)*0.1)*IF(lives&lt;=1, life_penalty_at_one, 1)*$A$96,MAX(0, $A$96*reward*(1+MAX(0,5-expires)*0.1)*IF(lives&lt;=1, life_penalty_at_one, 1)*($A$96+(1-$A$96)*q_survive_on_fail) - (1-$A$96)*potion_cost*gamma)))</f>
        <v>0</v>
      </c>
      <c r="G96">
        <f>IF(lives&gt;1,$A$96*reward*(1+MAX(0,5-expires)*0.1)*IF(lives&lt;=1, life_penalty_at_one, 1),IF(gold3&lt;potion_cost,$A$96*reward*(1+MAX(0,5-expires)*0.1)*IF(lives&lt;=1, life_penalty_at_one, 1)*$A$96,MAX(0, $A$96*reward*(1+MAX(0,5-expires)*0.1)*IF(lives&lt;=1, life_penalty_at_one, 1)*($A$96+(1-$A$96)*q_survive_on_fail) - (1-$A$96)*potion_cost*gamma)))</f>
        <v>0</v>
      </c>
    </row>
    <row r="97" spans="1:7">
      <c r="A97">
        <v>0.9136363636363637</v>
      </c>
      <c r="B97">
        <f>$A$97*reward*(1+MAX(0,5-expires)*0.1)*IF(lives&lt;=1, life_penalty_at_one, 1)</f>
        <v>0</v>
      </c>
      <c r="C97">
        <f>($A$97^IF(lives&lt;=1,1.8,IF(lives=2,1.5,1.2)))*(MAX(0,reward)^0.85)*(1+MIN(0.5,0.15*MAX(0,5-expires)))*IF($A$97&lt;0.4, MAX(0.5, 1 - IF(lives&lt;=1,1.2,IF(lives=2,0.8,0.5))*(0.4 - $A$97)), 1)</f>
        <v>0</v>
      </c>
      <c r="D97">
        <f>IF(lives&gt;1,$A$97*reward*(1+MAX(0,5-expires)*0.1)*IF(lives&lt;=1, life_penalty_at_one, 1),IF(gold0&lt;potion_cost,$A$97*reward*(1+MAX(0,5-expires)*0.1)*IF(lives&lt;=1, life_penalty_at_one, 1)*$A$97,MAX(0, $A$97*reward*(1+MAX(0,5-expires)*0.1)*IF(lives&lt;=1, life_penalty_at_one, 1)*($A$97+(1-$A$97)*q_survive_on_fail) - (1-$A$97)*potion_cost*gamma)))</f>
        <v>0</v>
      </c>
      <c r="E97">
        <f>IF(lives&gt;1,$A$97*reward*(1+MAX(0,5-expires)*0.1)*IF(lives&lt;=1, life_penalty_at_one, 1),IF(gold1&lt;potion_cost,$A$97*reward*(1+MAX(0,5-expires)*0.1)*IF(lives&lt;=1, life_penalty_at_one, 1)*$A$97,MAX(0, $A$97*reward*(1+MAX(0,5-expires)*0.1)*IF(lives&lt;=1, life_penalty_at_one, 1)*($A$97+(1-$A$97)*q_survive_on_fail) - (1-$A$97)*potion_cost*gamma)))</f>
        <v>0</v>
      </c>
      <c r="F97">
        <f>IF(lives&gt;1,$A$97*reward*(1+MAX(0,5-expires)*0.1)*IF(lives&lt;=1, life_penalty_at_one, 1),IF(gold2&lt;potion_cost,$A$97*reward*(1+MAX(0,5-expires)*0.1)*IF(lives&lt;=1, life_penalty_at_one, 1)*$A$97,MAX(0, $A$97*reward*(1+MAX(0,5-expires)*0.1)*IF(lives&lt;=1, life_penalty_at_one, 1)*($A$97+(1-$A$97)*q_survive_on_fail) - (1-$A$97)*potion_cost*gamma)))</f>
        <v>0</v>
      </c>
      <c r="G97">
        <f>IF(lives&gt;1,$A$97*reward*(1+MAX(0,5-expires)*0.1)*IF(lives&lt;=1, life_penalty_at_one, 1),IF(gold3&lt;potion_cost,$A$97*reward*(1+MAX(0,5-expires)*0.1)*IF(lives&lt;=1, life_penalty_at_one, 1)*$A$97,MAX(0, $A$97*reward*(1+MAX(0,5-expires)*0.1)*IF(lives&lt;=1, life_penalty_at_one, 1)*($A$97+(1-$A$97)*q_survive_on_fail) - (1-$A$97)*potion_cost*gamma)))</f>
        <v>0</v>
      </c>
    </row>
    <row r="98" spans="1:7">
      <c r="A98">
        <v>0.9227272727272727</v>
      </c>
      <c r="B98">
        <f>$A$98*reward*(1+MAX(0,5-expires)*0.1)*IF(lives&lt;=1, life_penalty_at_one, 1)</f>
        <v>0</v>
      </c>
      <c r="C98">
        <f>($A$98^IF(lives&lt;=1,1.8,IF(lives=2,1.5,1.2)))*(MAX(0,reward)^0.85)*(1+MIN(0.5,0.15*MAX(0,5-expires)))*IF($A$98&lt;0.4, MAX(0.5, 1 - IF(lives&lt;=1,1.2,IF(lives=2,0.8,0.5))*(0.4 - $A$98)), 1)</f>
        <v>0</v>
      </c>
      <c r="D98">
        <f>IF(lives&gt;1,$A$98*reward*(1+MAX(0,5-expires)*0.1)*IF(lives&lt;=1, life_penalty_at_one, 1),IF(gold0&lt;potion_cost,$A$98*reward*(1+MAX(0,5-expires)*0.1)*IF(lives&lt;=1, life_penalty_at_one, 1)*$A$98,MAX(0, $A$98*reward*(1+MAX(0,5-expires)*0.1)*IF(lives&lt;=1, life_penalty_at_one, 1)*($A$98+(1-$A$98)*q_survive_on_fail) - (1-$A$98)*potion_cost*gamma)))</f>
        <v>0</v>
      </c>
      <c r="E98">
        <f>IF(lives&gt;1,$A$98*reward*(1+MAX(0,5-expires)*0.1)*IF(lives&lt;=1, life_penalty_at_one, 1),IF(gold1&lt;potion_cost,$A$98*reward*(1+MAX(0,5-expires)*0.1)*IF(lives&lt;=1, life_penalty_at_one, 1)*$A$98,MAX(0, $A$98*reward*(1+MAX(0,5-expires)*0.1)*IF(lives&lt;=1, life_penalty_at_one, 1)*($A$98+(1-$A$98)*q_survive_on_fail) - (1-$A$98)*potion_cost*gamma)))</f>
        <v>0</v>
      </c>
      <c r="F98">
        <f>IF(lives&gt;1,$A$98*reward*(1+MAX(0,5-expires)*0.1)*IF(lives&lt;=1, life_penalty_at_one, 1),IF(gold2&lt;potion_cost,$A$98*reward*(1+MAX(0,5-expires)*0.1)*IF(lives&lt;=1, life_penalty_at_one, 1)*$A$98,MAX(0, $A$98*reward*(1+MAX(0,5-expires)*0.1)*IF(lives&lt;=1, life_penalty_at_one, 1)*($A$98+(1-$A$98)*q_survive_on_fail) - (1-$A$98)*potion_cost*gamma)))</f>
        <v>0</v>
      </c>
      <c r="G98">
        <f>IF(lives&gt;1,$A$98*reward*(1+MAX(0,5-expires)*0.1)*IF(lives&lt;=1, life_penalty_at_one, 1),IF(gold3&lt;potion_cost,$A$98*reward*(1+MAX(0,5-expires)*0.1)*IF(lives&lt;=1, life_penalty_at_one, 1)*$A$98,MAX(0, $A$98*reward*(1+MAX(0,5-expires)*0.1)*IF(lives&lt;=1, life_penalty_at_one, 1)*($A$98+(1-$A$98)*q_survive_on_fail) - (1-$A$98)*potion_cost*gamma)))</f>
        <v>0</v>
      </c>
    </row>
    <row r="99" spans="1:7">
      <c r="A99">
        <v>0.9318181818181818</v>
      </c>
      <c r="B99">
        <f>$A$99*reward*(1+MAX(0,5-expires)*0.1)*IF(lives&lt;=1, life_penalty_at_one, 1)</f>
        <v>0</v>
      </c>
      <c r="C99">
        <f>($A$99^IF(lives&lt;=1,1.8,IF(lives=2,1.5,1.2)))*(MAX(0,reward)^0.85)*(1+MIN(0.5,0.15*MAX(0,5-expires)))*IF($A$99&lt;0.4, MAX(0.5, 1 - IF(lives&lt;=1,1.2,IF(lives=2,0.8,0.5))*(0.4 - $A$99)), 1)</f>
        <v>0</v>
      </c>
      <c r="D99">
        <f>IF(lives&gt;1,$A$99*reward*(1+MAX(0,5-expires)*0.1)*IF(lives&lt;=1, life_penalty_at_one, 1),IF(gold0&lt;potion_cost,$A$99*reward*(1+MAX(0,5-expires)*0.1)*IF(lives&lt;=1, life_penalty_at_one, 1)*$A$99,MAX(0, $A$99*reward*(1+MAX(0,5-expires)*0.1)*IF(lives&lt;=1, life_penalty_at_one, 1)*($A$99+(1-$A$99)*q_survive_on_fail) - (1-$A$99)*potion_cost*gamma)))</f>
        <v>0</v>
      </c>
      <c r="E99">
        <f>IF(lives&gt;1,$A$99*reward*(1+MAX(0,5-expires)*0.1)*IF(lives&lt;=1, life_penalty_at_one, 1),IF(gold1&lt;potion_cost,$A$99*reward*(1+MAX(0,5-expires)*0.1)*IF(lives&lt;=1, life_penalty_at_one, 1)*$A$99,MAX(0, $A$99*reward*(1+MAX(0,5-expires)*0.1)*IF(lives&lt;=1, life_penalty_at_one, 1)*($A$99+(1-$A$99)*q_survive_on_fail) - (1-$A$99)*potion_cost*gamma)))</f>
        <v>0</v>
      </c>
      <c r="F99">
        <f>IF(lives&gt;1,$A$99*reward*(1+MAX(0,5-expires)*0.1)*IF(lives&lt;=1, life_penalty_at_one, 1),IF(gold2&lt;potion_cost,$A$99*reward*(1+MAX(0,5-expires)*0.1)*IF(lives&lt;=1, life_penalty_at_one, 1)*$A$99,MAX(0, $A$99*reward*(1+MAX(0,5-expires)*0.1)*IF(lives&lt;=1, life_penalty_at_one, 1)*($A$99+(1-$A$99)*q_survive_on_fail) - (1-$A$99)*potion_cost*gamma)))</f>
        <v>0</v>
      </c>
      <c r="G99">
        <f>IF(lives&gt;1,$A$99*reward*(1+MAX(0,5-expires)*0.1)*IF(lives&lt;=1, life_penalty_at_one, 1),IF(gold3&lt;potion_cost,$A$99*reward*(1+MAX(0,5-expires)*0.1)*IF(lives&lt;=1, life_penalty_at_one, 1)*$A$99,MAX(0, $A$99*reward*(1+MAX(0,5-expires)*0.1)*IF(lives&lt;=1, life_penalty_at_one, 1)*($A$99+(1-$A$99)*q_survive_on_fail) - (1-$A$99)*potion_cost*gamma)))</f>
        <v>0</v>
      </c>
    </row>
    <row r="100" spans="1:7">
      <c r="A100">
        <v>0.9409090909090909</v>
      </c>
      <c r="B100">
        <f>$A$100*reward*(1+MAX(0,5-expires)*0.1)*IF(lives&lt;=1, life_penalty_at_one, 1)</f>
        <v>0</v>
      </c>
      <c r="C100">
        <f>($A$100^IF(lives&lt;=1,1.8,IF(lives=2,1.5,1.2)))*(MAX(0,reward)^0.85)*(1+MIN(0.5,0.15*MAX(0,5-expires)))*IF($A$100&lt;0.4, MAX(0.5, 1 - IF(lives&lt;=1,1.2,IF(lives=2,0.8,0.5))*(0.4 - $A$100)), 1)</f>
        <v>0</v>
      </c>
      <c r="D100">
        <f>IF(lives&gt;1,$A$100*reward*(1+MAX(0,5-expires)*0.1)*IF(lives&lt;=1, life_penalty_at_one, 1),IF(gold0&lt;potion_cost,$A$100*reward*(1+MAX(0,5-expires)*0.1)*IF(lives&lt;=1, life_penalty_at_one, 1)*$A$100,MAX(0, $A$100*reward*(1+MAX(0,5-expires)*0.1)*IF(lives&lt;=1, life_penalty_at_one, 1)*($A$100+(1-$A$100)*q_survive_on_fail) - (1-$A$100)*potion_cost*gamma)))</f>
        <v>0</v>
      </c>
      <c r="E100">
        <f>IF(lives&gt;1,$A$100*reward*(1+MAX(0,5-expires)*0.1)*IF(lives&lt;=1, life_penalty_at_one, 1),IF(gold1&lt;potion_cost,$A$100*reward*(1+MAX(0,5-expires)*0.1)*IF(lives&lt;=1, life_penalty_at_one, 1)*$A$100,MAX(0, $A$100*reward*(1+MAX(0,5-expires)*0.1)*IF(lives&lt;=1, life_penalty_at_one, 1)*($A$100+(1-$A$100)*q_survive_on_fail) - (1-$A$100)*potion_cost*gamma)))</f>
        <v>0</v>
      </c>
      <c r="F100">
        <f>IF(lives&gt;1,$A$100*reward*(1+MAX(0,5-expires)*0.1)*IF(lives&lt;=1, life_penalty_at_one, 1),IF(gold2&lt;potion_cost,$A$100*reward*(1+MAX(0,5-expires)*0.1)*IF(lives&lt;=1, life_penalty_at_one, 1)*$A$100,MAX(0, $A$100*reward*(1+MAX(0,5-expires)*0.1)*IF(lives&lt;=1, life_penalty_at_one, 1)*($A$100+(1-$A$100)*q_survive_on_fail) - (1-$A$100)*potion_cost*gamma)))</f>
        <v>0</v>
      </c>
      <c r="G100">
        <f>IF(lives&gt;1,$A$100*reward*(1+MAX(0,5-expires)*0.1)*IF(lives&lt;=1, life_penalty_at_one, 1),IF(gold3&lt;potion_cost,$A$100*reward*(1+MAX(0,5-expires)*0.1)*IF(lives&lt;=1, life_penalty_at_one, 1)*$A$100,MAX(0, $A$100*reward*(1+MAX(0,5-expires)*0.1)*IF(lives&lt;=1, life_penalty_at_one, 1)*($A$100+(1-$A$100)*q_survive_on_fail) - (1-$A$100)*potion_cost*gamma)))</f>
        <v>0</v>
      </c>
    </row>
    <row r="101" spans="1:7">
      <c r="A101">
        <v>0.95</v>
      </c>
      <c r="B101">
        <f>$A$101*reward*(1+MAX(0,5-expires)*0.1)*IF(lives&lt;=1, life_penalty_at_one, 1)</f>
        <v>0</v>
      </c>
      <c r="C101">
        <f>($A$101^IF(lives&lt;=1,1.8,IF(lives=2,1.5,1.2)))*(MAX(0,reward)^0.85)*(1+MIN(0.5,0.15*MAX(0,5-expires)))*IF($A$101&lt;0.4, MAX(0.5, 1 - IF(lives&lt;=1,1.2,IF(lives=2,0.8,0.5))*(0.4 - $A$101)), 1)</f>
        <v>0</v>
      </c>
      <c r="D101">
        <f>IF(lives&gt;1,$A$101*reward*(1+MAX(0,5-expires)*0.1)*IF(lives&lt;=1, life_penalty_at_one, 1),IF(gold0&lt;potion_cost,$A$101*reward*(1+MAX(0,5-expires)*0.1)*IF(lives&lt;=1, life_penalty_at_one, 1)*$A$101,MAX(0, $A$101*reward*(1+MAX(0,5-expires)*0.1)*IF(lives&lt;=1, life_penalty_at_one, 1)*($A$101+(1-$A$101)*q_survive_on_fail) - (1-$A$101)*potion_cost*gamma)))</f>
        <v>0</v>
      </c>
      <c r="E101">
        <f>IF(lives&gt;1,$A$101*reward*(1+MAX(0,5-expires)*0.1)*IF(lives&lt;=1, life_penalty_at_one, 1),IF(gold1&lt;potion_cost,$A$101*reward*(1+MAX(0,5-expires)*0.1)*IF(lives&lt;=1, life_penalty_at_one, 1)*$A$101,MAX(0, $A$101*reward*(1+MAX(0,5-expires)*0.1)*IF(lives&lt;=1, life_penalty_at_one, 1)*($A$101+(1-$A$101)*q_survive_on_fail) - (1-$A$101)*potion_cost*gamma)))</f>
        <v>0</v>
      </c>
      <c r="F101">
        <f>IF(lives&gt;1,$A$101*reward*(1+MAX(0,5-expires)*0.1)*IF(lives&lt;=1, life_penalty_at_one, 1),IF(gold2&lt;potion_cost,$A$101*reward*(1+MAX(0,5-expires)*0.1)*IF(lives&lt;=1, life_penalty_at_one, 1)*$A$101,MAX(0, $A$101*reward*(1+MAX(0,5-expires)*0.1)*IF(lives&lt;=1, life_penalty_at_one, 1)*($A$101+(1-$A$101)*q_survive_on_fail) - (1-$A$101)*potion_cost*gamma)))</f>
        <v>0</v>
      </c>
      <c r="G101">
        <f>IF(lives&gt;1,$A$101*reward*(1+MAX(0,5-expires)*0.1)*IF(lives&lt;=1, life_penalty_at_one, 1),IF(gold3&lt;potion_cost,$A$101*reward*(1+MAX(0,5-expires)*0.1)*IF(lives&lt;=1, life_penalty_at_one, 1)*$A$101,MAX(0, $A$101*reward*(1+MAX(0,5-expires)*0.1)*IF(lives&lt;=1, life_penalty_at_one, 1)*($A$101+(1-$A$101)*q_survive_on_fail) - (1-$A$101)*potion_cost*gamma)))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11</vt:i4>
      </vt:variant>
    </vt:vector>
  </HeadingPairs>
  <TitlesOfParts>
    <vt:vector size="14" baseType="lpstr">
      <vt:lpstr>params</vt:lpstr>
      <vt:lpstr>data</vt:lpstr>
      <vt:lpstr>chart</vt:lpstr>
      <vt:lpstr>expires</vt:lpstr>
      <vt:lpstr>gamma</vt:lpstr>
      <vt:lpstr>gold0</vt:lpstr>
      <vt:lpstr>gold1</vt:lpstr>
      <vt:lpstr>gold2</vt:lpstr>
      <vt:lpstr>gold3</vt:lpstr>
      <vt:lpstr>life_penalty_at_one</vt:lpstr>
      <vt:lpstr>lives</vt:lpstr>
      <vt:lpstr>potion_cost</vt:lpstr>
      <vt:lpstr>q_survive_on_fail</vt:lpstr>
      <vt:lpstr>reward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2025-10-09T09:35:51Z</dcterms:created>
  <dcterms:modified xsi:type="dcterms:W3CDTF">2025-10-09T09:35:51Z</dcterms:modified>
</cp:coreProperties>
</file>